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202300"/>
  <mc:AlternateContent xmlns:mc="http://schemas.openxmlformats.org/markup-compatibility/2006">
    <mc:Choice Requires="x15">
      <x15ac:absPath xmlns:x15ac="http://schemas.microsoft.com/office/spreadsheetml/2010/11/ac" url="X:\универ\что-то\гит\"/>
    </mc:Choice>
  </mc:AlternateContent>
  <xr:revisionPtr revIDLastSave="0" documentId="13_ncr:1_{4D547567-51B8-4D7F-9B44-4940FA8501A7}" xr6:coauthVersionLast="47" xr6:coauthVersionMax="47" xr10:uidLastSave="{00000000-0000-0000-0000-000000000000}"/>
  <bookViews>
    <workbookView xWindow="11424" yWindow="0" windowWidth="11712" windowHeight="12336" activeTab="7" xr2:uid="{F7516130-4F32-46E0-8587-913170675CC7}"/>
  </bookViews>
  <sheets>
    <sheet name="1" sheetId="8" r:id="rId1"/>
    <sheet name="2" sheetId="1" r:id="rId2"/>
    <sheet name="3" sheetId="2" r:id="rId3"/>
    <sheet name="4" sheetId="4" r:id="rId4"/>
    <sheet name="5" sheetId="5" r:id="rId5"/>
    <sheet name="6" sheetId="6" r:id="rId6"/>
    <sheet name="7" sheetId="7" r:id="rId7"/>
    <sheet name="8" sheetId="3" r:id="rId8"/>
  </sheets>
  <definedNames>
    <definedName name="solver_adj" localSheetId="4" hidden="1">'5'!$B$39:$E$39</definedName>
    <definedName name="solver_cvg" localSheetId="4" hidden="1">0.0001</definedName>
    <definedName name="solver_drv" localSheetId="4" hidden="1">1</definedName>
    <definedName name="solver_eng" localSheetId="4" hidden="1">1</definedName>
    <definedName name="solver_est" localSheetId="4" hidden="1">1</definedName>
    <definedName name="solver_itr" localSheetId="4" hidden="1">2147483647</definedName>
    <definedName name="solver_lhs1" localSheetId="4" hidden="1">'5'!$B$36</definedName>
    <definedName name="solver_lhs2" localSheetId="4" hidden="1">'5'!$B$37</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2</definedName>
    <definedName name="solver_nwt" localSheetId="4" hidden="1">1</definedName>
    <definedName name="solver_opt" localSheetId="4" hidden="1">'5'!$B$35</definedName>
    <definedName name="solver_pre" localSheetId="4" hidden="1">0.000001</definedName>
    <definedName name="solver_rbv" localSheetId="4" hidden="1">1</definedName>
    <definedName name="solver_rel1" localSheetId="4" hidden="1">3</definedName>
    <definedName name="solver_rel2" localSheetId="4" hidden="1">2</definedName>
    <definedName name="solver_rhs1" localSheetId="4" hidden="1">'5'!$D$36</definedName>
    <definedName name="solver_rhs2" localSheetId="4" hidden="1">'5'!$D$37</definedName>
    <definedName name="solver_rlx" localSheetId="4" hidden="1">2</definedName>
    <definedName name="solver_rsd" localSheetId="4" hidden="1">0</definedName>
    <definedName name="solver_scl" localSheetId="4" hidden="1">1</definedName>
    <definedName name="solver_sho" localSheetId="4" hidden="1">2</definedName>
    <definedName name="solver_ssz" localSheetId="4" hidden="1">100</definedName>
    <definedName name="solver_tim" localSheetId="4" hidden="1">2147483647</definedName>
    <definedName name="solver_tol" localSheetId="4" hidden="1">0.01</definedName>
    <definedName name="solver_typ" localSheetId="4" hidden="1">2</definedName>
    <definedName name="solver_val" localSheetId="4" hidden="1">0</definedName>
    <definedName name="solver_ver" localSheetId="4"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6" l="1"/>
  <c r="E74" i="6"/>
  <c r="D74" i="6"/>
  <c r="B74" i="6"/>
  <c r="B73" i="6"/>
  <c r="I64" i="6"/>
  <c r="I63" i="6"/>
  <c r="I62" i="6"/>
  <c r="B71" i="6"/>
  <c r="B70" i="6"/>
  <c r="F68" i="6"/>
  <c r="F67" i="6"/>
  <c r="F66" i="6"/>
  <c r="F65" i="6"/>
  <c r="F64" i="6"/>
  <c r="F63" i="6"/>
  <c r="F62" i="6"/>
  <c r="A62" i="6" a="1"/>
  <c r="A63" i="6" s="1"/>
  <c r="G47" i="6"/>
  <c r="E47" i="6"/>
  <c r="C47" i="6"/>
  <c r="B40" i="6"/>
  <c r="C62" i="6" l="1"/>
  <c r="B62" i="6"/>
  <c r="A62" i="6"/>
  <c r="C66" i="6"/>
  <c r="B66" i="6"/>
  <c r="A66" i="6"/>
  <c r="C65" i="6"/>
  <c r="B65" i="6"/>
  <c r="A65" i="6"/>
  <c r="C64" i="6"/>
  <c r="B64" i="6"/>
  <c r="A64" i="6"/>
  <c r="C63" i="6"/>
  <c r="B63" i="6"/>
  <c r="N8" i="7" l="1"/>
  <c r="N7" i="7"/>
  <c r="H27" i="6" l="1"/>
  <c r="A27" i="6" a="1"/>
  <c r="A27" i="6" s="1"/>
  <c r="B47" i="6" s="1"/>
  <c r="E27" i="6" l="1"/>
  <c r="B31" i="6"/>
  <c r="A31" i="6"/>
  <c r="E32" i="6" s="1"/>
  <c r="B30" i="6"/>
  <c r="E31" i="6" s="1"/>
  <c r="A30" i="6"/>
  <c r="E30" i="6" s="1"/>
  <c r="H28" i="6" s="1"/>
  <c r="B29" i="6"/>
  <c r="A29" i="6"/>
  <c r="E29" i="6" s="1"/>
  <c r="B28" i="6"/>
  <c r="A28" i="6"/>
  <c r="B27" i="6"/>
  <c r="A47" i="6" l="1"/>
  <c r="E28" i="6"/>
  <c r="E40" i="6" s="1"/>
  <c r="A43" i="6" s="1"/>
  <c r="D47" i="6"/>
  <c r="E33" i="6"/>
  <c r="B21" i="6"/>
  <c r="B20" i="6"/>
  <c r="B16" i="6"/>
  <c r="B13" i="6"/>
  <c r="B15" i="6" s="1"/>
  <c r="B12" i="6"/>
  <c r="F47" i="6" s="1"/>
  <c r="B56" i="8"/>
  <c r="H56" i="8" s="1"/>
  <c r="B55" i="8"/>
  <c r="H55" i="8" s="1"/>
  <c r="B54" i="8"/>
  <c r="H54" i="8" s="1"/>
  <c r="H53" i="8"/>
  <c r="K50" i="8" s="1"/>
  <c r="B53" i="8"/>
  <c r="B57" i="8" s="1"/>
  <c r="E55" i="8" s="1"/>
  <c r="N41" i="8"/>
  <c r="E41" i="8"/>
  <c r="D41" i="8"/>
  <c r="C41" i="8"/>
  <c r="B41" i="8"/>
  <c r="N40" i="8"/>
  <c r="E40" i="8"/>
  <c r="D40" i="8"/>
  <c r="H40" i="8" s="1"/>
  <c r="C40" i="8"/>
  <c r="B40" i="8"/>
  <c r="N39" i="8"/>
  <c r="E39" i="8"/>
  <c r="H41" i="8" s="1"/>
  <c r="D39" i="8"/>
  <c r="C39" i="8"/>
  <c r="H39" i="8" s="1"/>
  <c r="B39" i="8"/>
  <c r="H38" i="8" s="1"/>
  <c r="N38" i="8"/>
  <c r="K33" i="8"/>
  <c r="B22" i="8"/>
  <c r="B21" i="8"/>
  <c r="B20" i="8"/>
  <c r="B19" i="8"/>
  <c r="B16" i="8"/>
  <c r="B15" i="8"/>
  <c r="B14" i="8"/>
  <c r="B13" i="8"/>
  <c r="B14" i="6" l="1"/>
  <c r="B17" i="6" s="1"/>
  <c r="E11" i="6" s="1"/>
  <c r="B37" i="6"/>
  <c r="C43" i="6"/>
  <c r="F43" i="6" s="1"/>
  <c r="E43" i="6"/>
  <c r="B50" i="6"/>
  <c r="M50" i="8"/>
  <c r="M48" i="8"/>
  <c r="M51" i="8" s="1"/>
  <c r="M49" i="8"/>
  <c r="N50" i="8"/>
  <c r="N49" i="8"/>
  <c r="N48" i="8"/>
  <c r="N51" i="8" s="1"/>
  <c r="K41" i="8"/>
  <c r="Q33" i="8"/>
  <c r="Q34" i="8" s="1"/>
  <c r="H42" i="8"/>
  <c r="K39" i="8" s="1"/>
  <c r="K38" i="8"/>
  <c r="L48" i="8"/>
  <c r="L51" i="8" s="1"/>
  <c r="L50" i="8"/>
  <c r="O50" i="8" s="1"/>
  <c r="L49" i="8"/>
  <c r="N33" i="8"/>
  <c r="E53" i="8"/>
  <c r="B17" i="8"/>
  <c r="E14" i="8" s="1"/>
  <c r="E20" i="8" s="1"/>
  <c r="K48" i="8"/>
  <c r="K49" i="8"/>
  <c r="O49" i="8" s="1"/>
  <c r="E54" i="8"/>
  <c r="E56" i="8"/>
  <c r="B22" i="6" l="1"/>
  <c r="E13" i="6"/>
  <c r="K51" i="8"/>
  <c r="O48" i="8"/>
  <c r="E16" i="8"/>
  <c r="E22" i="8" s="1"/>
  <c r="E15" i="8"/>
  <c r="E21" i="8" s="1"/>
  <c r="K40" i="8"/>
  <c r="E13" i="8"/>
  <c r="E19" i="8" s="1"/>
  <c r="E23" i="8" s="1"/>
  <c r="B25" i="8" s="1"/>
  <c r="B26" i="8" s="1"/>
  <c r="B27" i="8" s="1"/>
  <c r="B36" i="5" l="1"/>
  <c r="B21" i="5"/>
  <c r="F14" i="7"/>
  <c r="G14" i="7"/>
  <c r="H14" i="7"/>
  <c r="I14" i="7"/>
  <c r="J14" i="7"/>
  <c r="K14" i="7"/>
  <c r="L14" i="7"/>
  <c r="E14" i="7"/>
  <c r="F13" i="7"/>
  <c r="G13" i="7"/>
  <c r="H13" i="7"/>
  <c r="I13" i="7"/>
  <c r="J13" i="7"/>
  <c r="K13" i="7"/>
  <c r="L13" i="7"/>
  <c r="E13" i="7"/>
  <c r="D14" i="7"/>
  <c r="D13" i="7"/>
  <c r="B37" i="5"/>
  <c r="D36" i="5"/>
  <c r="B35" i="5"/>
  <c r="F33" i="5"/>
  <c r="E33" i="5"/>
  <c r="D33" i="5"/>
  <c r="C33" i="5"/>
  <c r="B33" i="5"/>
  <c r="A33" i="5"/>
  <c r="C27" i="5"/>
  <c r="C26" i="5"/>
  <c r="C25" i="5"/>
  <c r="C24" i="5"/>
  <c r="B27" i="5"/>
  <c r="B26" i="5"/>
  <c r="B25" i="5"/>
  <c r="B24" i="5"/>
  <c r="K21" i="5"/>
  <c r="L21" i="5"/>
  <c r="M21" i="5"/>
  <c r="J21" i="5"/>
  <c r="G21" i="5"/>
  <c r="H21" i="5"/>
  <c r="I21" i="5"/>
  <c r="F21" i="5"/>
  <c r="C21" i="5"/>
  <c r="D21" i="5"/>
  <c r="E21" i="5"/>
  <c r="P12" i="3" l="1"/>
  <c r="J15" i="3"/>
  <c r="L14" i="3"/>
  <c r="L13" i="3"/>
  <c r="K13" i="3"/>
  <c r="G57" i="4"/>
  <c r="H57" i="4" s="1"/>
  <c r="G58" i="4"/>
  <c r="H58" i="4" s="1"/>
  <c r="F62" i="4" s="1"/>
  <c r="G56" i="4"/>
  <c r="H56" i="4" s="1"/>
  <c r="F58" i="4"/>
  <c r="F57" i="4"/>
  <c r="F56" i="4"/>
  <c r="B37" i="4"/>
  <c r="B44" i="4"/>
  <c r="E44" i="4" s="1"/>
  <c r="B43" i="4"/>
  <c r="E43" i="4" s="1"/>
  <c r="D37" i="4"/>
  <c r="C37" i="4"/>
  <c r="B24" i="4"/>
  <c r="F24" i="4"/>
  <c r="F30" i="4" s="1"/>
  <c r="F31" i="4" s="1"/>
  <c r="E24" i="4"/>
  <c r="E30" i="4" s="1"/>
  <c r="E31" i="4" s="1"/>
  <c r="D24" i="4"/>
  <c r="D30" i="4" s="1"/>
  <c r="D31" i="4" s="1"/>
  <c r="C24" i="4"/>
  <c r="C30" i="4" s="1"/>
  <c r="C31" i="4" s="1"/>
  <c r="M26" i="3"/>
  <c r="M27" i="3"/>
  <c r="M25" i="3"/>
  <c r="L26" i="3"/>
  <c r="L27" i="3"/>
  <c r="L25" i="3"/>
  <c r="K26" i="3"/>
  <c r="K27" i="3"/>
  <c r="K25" i="3"/>
  <c r="J27" i="3"/>
  <c r="J26" i="3"/>
  <c r="J25" i="3"/>
  <c r="P19" i="3"/>
  <c r="P20" i="3"/>
  <c r="P18" i="3"/>
  <c r="P13" i="3"/>
  <c r="P14" i="3"/>
  <c r="F61" i="4" l="1"/>
  <c r="F63" i="4" s="1"/>
  <c r="B30" i="4"/>
  <c r="B31" i="4" s="1"/>
  <c r="B42" i="4"/>
  <c r="E42" i="4" s="1"/>
  <c r="L20" i="3"/>
  <c r="K21" i="3"/>
  <c r="J21" i="3"/>
  <c r="J20" i="3"/>
  <c r="L19" i="3"/>
  <c r="K19" i="3"/>
  <c r="L15" i="3"/>
  <c r="K15" i="3"/>
  <c r="K14" i="3"/>
  <c r="J14" i="3"/>
  <c r="J13" i="3"/>
  <c r="N17" i="2"/>
  <c r="N21" i="2" s="1"/>
  <c r="B97" i="2"/>
  <c r="B96" i="2"/>
  <c r="B95" i="2"/>
  <c r="M86" i="2"/>
  <c r="M85" i="2"/>
  <c r="M84" i="2"/>
  <c r="M87" i="2" s="1"/>
  <c r="M81" i="2"/>
  <c r="M80" i="2"/>
  <c r="M79" i="2"/>
  <c r="M76" i="2"/>
  <c r="M75" i="2"/>
  <c r="M74" i="2"/>
  <c r="M71" i="2"/>
  <c r="M70" i="2"/>
  <c r="M69" i="2"/>
  <c r="M64" i="2"/>
  <c r="M63" i="2"/>
  <c r="M62" i="2"/>
  <c r="M59" i="2"/>
  <c r="M58" i="2"/>
  <c r="M57" i="2"/>
  <c r="M54" i="2"/>
  <c r="M53" i="2"/>
  <c r="M52" i="2"/>
  <c r="M49" i="2"/>
  <c r="M48" i="2"/>
  <c r="M47" i="2"/>
  <c r="M37" i="2"/>
  <c r="M35" i="2"/>
  <c r="P30" i="2"/>
  <c r="M33" i="2"/>
  <c r="M30" i="2"/>
  <c r="M42" i="2"/>
  <c r="M41" i="2"/>
  <c r="M40" i="2"/>
  <c r="M43" i="2" s="1"/>
  <c r="M36" i="2"/>
  <c r="M32" i="2"/>
  <c r="M31" i="2"/>
  <c r="P25" i="2"/>
  <c r="M28" i="2"/>
  <c r="M26" i="2"/>
  <c r="M27" i="2"/>
  <c r="M25" i="2"/>
  <c r="N19" i="2"/>
  <c r="N20" i="2"/>
  <c r="N18" i="2"/>
  <c r="I43" i="1"/>
  <c r="I42" i="1"/>
  <c r="I41" i="1"/>
  <c r="I40" i="1"/>
  <c r="I39" i="1"/>
  <c r="I36" i="1"/>
  <c r="I35" i="1"/>
  <c r="I34" i="1"/>
  <c r="I33" i="1"/>
  <c r="I32" i="1"/>
  <c r="I29" i="1"/>
  <c r="I28" i="1"/>
  <c r="I27" i="1"/>
  <c r="I26" i="1"/>
  <c r="I25" i="1"/>
  <c r="B21" i="1"/>
  <c r="B22" i="1"/>
  <c r="B20" i="1"/>
  <c r="E45" i="4" l="1"/>
  <c r="Q19" i="2"/>
  <c r="Q18" i="2"/>
  <c r="Q17" i="2"/>
  <c r="M82" i="2"/>
  <c r="P80" i="2" s="1"/>
  <c r="M55" i="2"/>
  <c r="P52" i="2" s="1"/>
  <c r="M50" i="2"/>
  <c r="P49" i="2" s="1"/>
  <c r="M60" i="2"/>
  <c r="P59" i="2" s="1"/>
  <c r="M72" i="2"/>
  <c r="P71" i="2" s="1"/>
  <c r="M77" i="2"/>
  <c r="P74" i="2" s="1"/>
  <c r="P85" i="2"/>
  <c r="P86" i="2"/>
  <c r="P84" i="2"/>
  <c r="M65" i="2"/>
  <c r="M38" i="2"/>
  <c r="P41" i="2"/>
  <c r="P42" i="2"/>
  <c r="P40" i="2"/>
  <c r="P36" i="2"/>
  <c r="P37" i="2"/>
  <c r="P35" i="2"/>
  <c r="P32" i="2"/>
  <c r="P26" i="2"/>
  <c r="I30" i="1"/>
  <c r="L27" i="1" s="1"/>
  <c r="B23" i="1"/>
  <c r="E20" i="1" s="1"/>
  <c r="I37" i="1"/>
  <c r="L32" i="1" s="1"/>
  <c r="I44" i="1"/>
  <c r="H43" i="4" l="1"/>
  <c r="H44" i="4"/>
  <c r="H42" i="4"/>
  <c r="P79" i="2"/>
  <c r="P81" i="2"/>
  <c r="P76" i="2"/>
  <c r="P53" i="2"/>
  <c r="P54" i="2"/>
  <c r="P47" i="2"/>
  <c r="P48" i="2"/>
  <c r="P70" i="2"/>
  <c r="P69" i="2"/>
  <c r="P57" i="2"/>
  <c r="P75" i="2"/>
  <c r="P58" i="2"/>
  <c r="P63" i="2"/>
  <c r="P64" i="2"/>
  <c r="P62" i="2"/>
  <c r="P31" i="2"/>
  <c r="P27" i="2"/>
  <c r="Q20" i="2"/>
  <c r="S48" i="2" s="1"/>
  <c r="L25" i="1"/>
  <c r="L26" i="1"/>
  <c r="L42" i="1"/>
  <c r="L34" i="1"/>
  <c r="L35" i="1"/>
  <c r="L39" i="1"/>
  <c r="L29" i="1"/>
  <c r="L43" i="1"/>
  <c r="L41" i="1"/>
  <c r="L40" i="1"/>
  <c r="L28" i="1"/>
  <c r="L36" i="1"/>
  <c r="L33" i="1"/>
  <c r="E21" i="1"/>
  <c r="E22" i="1"/>
  <c r="D48" i="4" l="1"/>
  <c r="C48" i="4"/>
  <c r="B48" i="4"/>
  <c r="C50" i="4"/>
  <c r="D50" i="4"/>
  <c r="B50" i="4"/>
  <c r="C49" i="4"/>
  <c r="D49" i="4"/>
  <c r="B49" i="4"/>
  <c r="S69" i="2"/>
  <c r="S25" i="2"/>
  <c r="S47" i="2"/>
  <c r="S27" i="2"/>
  <c r="S26" i="2"/>
  <c r="S49" i="2"/>
  <c r="S70" i="2"/>
  <c r="S71" i="2"/>
  <c r="C47" i="1"/>
  <c r="C50" i="1"/>
  <c r="C46" i="1"/>
  <c r="C49" i="1"/>
  <c r="C48" i="1"/>
  <c r="B51" i="4" l="1"/>
  <c r="C51" i="4"/>
  <c r="D51" i="4"/>
</calcChain>
</file>

<file path=xl/sharedStrings.xml><?xml version="1.0" encoding="utf-8"?>
<sst xmlns="http://schemas.openxmlformats.org/spreadsheetml/2006/main" count="740" uniqueCount="274">
  <si>
    <t>Фирма</t>
  </si>
  <si>
    <t xml:space="preserve">Уровень развития 
торговой сети </t>
  </si>
  <si>
    <t>Репутация</t>
  </si>
  <si>
    <t>Опыт работы с данной продукцией, лет</t>
  </si>
  <si>
    <t>ТФ1</t>
  </si>
  <si>
    <t>ТФ2</t>
  </si>
  <si>
    <t>ТФ3</t>
  </si>
  <si>
    <t>ТФ4</t>
  </si>
  <si>
    <t>ТФ5</t>
  </si>
  <si>
    <t>ТФ6</t>
  </si>
  <si>
    <t>развитая</t>
  </si>
  <si>
    <t>средняя</t>
  </si>
  <si>
    <t>средняя (немного хуже, 
чем у ТФ4)</t>
  </si>
  <si>
    <t xml:space="preserve">средняя (немного 
лучше, чем у ТФ4 и ТФ5) </t>
  </si>
  <si>
    <t>сомнительная</t>
  </si>
  <si>
    <t>хорошая</t>
  </si>
  <si>
    <t xml:space="preserve">средняя </t>
  </si>
  <si>
    <t xml:space="preserve">Предприятие - производитель изделий бытовой электроники выбирает торговую фирму для заключения с ней договора о распространении своей продукции. Имеется шесть торговых фирм, о которых известно следующее. </t>
  </si>
  <si>
    <t>К1</t>
  </si>
  <si>
    <t>К2</t>
  </si>
  <si>
    <t>К3</t>
  </si>
  <si>
    <t xml:space="preserve">По мнению первого эксперта, основной критерий - репутация(К3), менее важный - опыт работы(К1), еще менее важный – уровень развития торговой сети(К2). </t>
  </si>
  <si>
    <t>С1</t>
  </si>
  <si>
    <t>С2</t>
  </si>
  <si>
    <t>С3</t>
  </si>
  <si>
    <t>С</t>
  </si>
  <si>
    <t>L2</t>
  </si>
  <si>
    <t>L3</t>
  </si>
  <si>
    <t>С4</t>
  </si>
  <si>
    <t>С5</t>
  </si>
  <si>
    <t>С6</t>
  </si>
  <si>
    <t>L4</t>
  </si>
  <si>
    <t>L5</t>
  </si>
  <si>
    <t>L6</t>
  </si>
  <si>
    <t>G2</t>
  </si>
  <si>
    <t>G3</t>
  </si>
  <si>
    <t>G4</t>
  </si>
  <si>
    <t>G5</t>
  </si>
  <si>
    <t>G6</t>
  </si>
  <si>
    <t>Lк1</t>
  </si>
  <si>
    <t>Lк2</t>
  </si>
  <si>
    <t>Lк3</t>
  </si>
  <si>
    <t>Lк1м2</t>
  </si>
  <si>
    <t>Lк1м3</t>
  </si>
  <si>
    <t>Lк1м4</t>
  </si>
  <si>
    <t>Lк1м5</t>
  </si>
  <si>
    <t>Lк1м6</t>
  </si>
  <si>
    <t>Пластмасса</t>
  </si>
  <si>
    <t>Линия</t>
  </si>
  <si>
    <t>Производительность, кг/ч</t>
  </si>
  <si>
    <t xml:space="preserve">Себестоимость пластмассы, 
ден.ед./кг </t>
  </si>
  <si>
    <t xml:space="preserve">Время непрерывной работы, ч </t>
  </si>
  <si>
    <t xml:space="preserve">Для бытовых 
изделий </t>
  </si>
  <si>
    <t xml:space="preserve">Техническая 
обычная </t>
  </si>
  <si>
    <t xml:space="preserve">Техническая 
упрочненная </t>
  </si>
  <si>
    <t>Л1</t>
  </si>
  <si>
    <t>Л2</t>
  </si>
  <si>
    <t>Л3</t>
  </si>
  <si>
    <t>К4</t>
  </si>
  <si>
    <t xml:space="preserve">Предприятие предполагает приобрести новую технологическую линию для производства пластмассы. Имеется возможность приобрести одну из трех линий: Л1, Л2 или Л3. Каждая линия может применяться для производства трех видов пластмассы: для бытовых изделий, технической обычной и технической упрочненной. Стоимость линий Л1, Л2, Л3 - 200, 600 и 300 тыс. ден. ед. соответственно. Другие характеристики линий зависят от вида выпускаемой пластмассы. Из опыта работы предприятия известно, что примерно 40% заказов на  производство пластмасс составляют заказы на пластмассу для бытовых  изделий, еще 40% - заказы на обычную техническую пластмассу, 20% - на  техническую упрочненную.  По мнению руководства предприятия, наиболее важный критерий - производительность(К1), следующий по важности - себестоимость пластмассы(К2), менее важны (и одинаково важны между собой) стоимость линии(К4) и время непрерывной работы(К3). </t>
  </si>
  <si>
    <t>Lк4</t>
  </si>
  <si>
    <t>Для бытовых изделий</t>
  </si>
  <si>
    <t>Lк1л1</t>
  </si>
  <si>
    <t>Lк2л2</t>
  </si>
  <si>
    <t>Lк3л3</t>
  </si>
  <si>
    <t>Lк1л2</t>
  </si>
  <si>
    <t>Lк1л3</t>
  </si>
  <si>
    <t>Lк2л1</t>
  </si>
  <si>
    <t>Lк2л3</t>
  </si>
  <si>
    <t>Lк3л1</t>
  </si>
  <si>
    <t>Lк3л2</t>
  </si>
  <si>
    <t>Lк4л1</t>
  </si>
  <si>
    <t>Lк4л2</t>
  </si>
  <si>
    <t>Lк4л3</t>
  </si>
  <si>
    <t>Техническая обычная</t>
  </si>
  <si>
    <t>Техническая упроченная</t>
  </si>
  <si>
    <t>Gл1</t>
  </si>
  <si>
    <t>Gл2</t>
  </si>
  <si>
    <t>Gл3</t>
  </si>
  <si>
    <t>Ел1</t>
  </si>
  <si>
    <t>Ел2</t>
  </si>
  <si>
    <t>Ел3</t>
  </si>
  <si>
    <t>Спрос</t>
  </si>
  <si>
    <t>Обычный</t>
  </si>
  <si>
    <t>Повышенный</t>
  </si>
  <si>
    <t>Прибыль от продажи одной упаковки, ден.ед</t>
  </si>
  <si>
    <t>П1</t>
  </si>
  <si>
    <t>П2</t>
  </si>
  <si>
    <t>П3</t>
  </si>
  <si>
    <t xml:space="preserve">Предприятие имеет возможность выпустить 30 тыс. упаковок продукта П1, или 36 тыс. упаковок продукта П2, или 40 тыс. упаковок продукта П3 (предприятие  может выпускать только один из продуктов).  Спрос на продукты гарантирован (все выпущенные продукты будут распроданы). В то же время спрос на любой из продуктов может быть обычным или повышенным. При повышенном спросе продукт продается по более высокой цене.  Возможные значения прибыли от продажи одной упаковки каждого из продуктов  при обычном и повышенном спросе указаны в таблице. Это означает, например, следующее: если предприятие будет выпускать  продукт П1, и спрос на него окажется повышенным, то предприятие получит с  каждой упаковки прибыль в размере 2,3 ден.ед.; если будет повышенный спрос на  какой-либо другой продукт, то предприятие получит с каждой упаковки продукта  П1 прибыль в размере 2,2 ден.ед. Известно, что на один из продуктов всегда имеется повышенный спрос (на  какой именно - заранее неизвестно), на остальные продукты - обычный спрос.  Требуется определить, какой продукт следует выпускать предприятию, чтобы  получить максимальную прибыль.  При выборе решения по критерию Байеса считать, что вероятность повышенного спроса на продукт П1 составляет 10%, на продукт П2 - 30%, на продукт П3 - 60%. При выборе решения по критерию Гурвица считать, что вероятность благоприятных условий несколько ниже, чем вероятность неблагоприятных условий. </t>
  </si>
  <si>
    <t>Количество, тыс</t>
  </si>
  <si>
    <t xml:space="preserve">По мнению второго эксперта, основной критерий - репутация(К3), менее важный - опыт уровень развития торговой сети(К2), еще менее важный –  опыт работы(К1). </t>
  </si>
  <si>
    <t>Матрица Выигрышей</t>
  </si>
  <si>
    <t>П1 повыш</t>
  </si>
  <si>
    <t>П2 повыш</t>
  </si>
  <si>
    <t>П3 повыш</t>
  </si>
  <si>
    <t xml:space="preserve">Прибыль </t>
  </si>
  <si>
    <t>Zb Выигрыша</t>
  </si>
  <si>
    <t>Вероятность</t>
  </si>
  <si>
    <t>кЛапласа</t>
  </si>
  <si>
    <t>кВальда</t>
  </si>
  <si>
    <t>кСэвиджа</t>
  </si>
  <si>
    <t>кГурвица</t>
  </si>
  <si>
    <t>а</t>
  </si>
  <si>
    <t>М</t>
  </si>
  <si>
    <t>N</t>
  </si>
  <si>
    <t>Альтернатива</t>
  </si>
  <si>
    <t>P</t>
  </si>
  <si>
    <r>
      <t>Р</t>
    </r>
    <r>
      <rPr>
        <sz val="8"/>
        <color rgb="FF006100"/>
        <rFont val="Aptos Narrow"/>
        <family val="2"/>
        <scheme val="minor"/>
      </rPr>
      <t>0</t>
    </r>
  </si>
  <si>
    <t>P1</t>
  </si>
  <si>
    <t>P2</t>
  </si>
  <si>
    <t>P3</t>
  </si>
  <si>
    <t>R1</t>
  </si>
  <si>
    <t>R2</t>
  </si>
  <si>
    <t>R3</t>
  </si>
  <si>
    <t>R</t>
  </si>
  <si>
    <t>W1</t>
  </si>
  <si>
    <t>W2</t>
  </si>
  <si>
    <t>W3</t>
  </si>
  <si>
    <t>E</t>
  </si>
  <si>
    <t>V</t>
  </si>
  <si>
    <t>S</t>
  </si>
  <si>
    <t>D2</t>
  </si>
  <si>
    <t>D1</t>
  </si>
  <si>
    <t>D</t>
  </si>
  <si>
    <t xml:space="preserve">Матрица Рисков </t>
  </si>
  <si>
    <t>Zb Рисков</t>
  </si>
  <si>
    <t>Методика скаляризации векторных оценок</t>
  </si>
  <si>
    <t>Методика сравнительной оценки двух альтернатив по степени доминирования</t>
  </si>
  <si>
    <t xml:space="preserve">ПРИНЯТИЕ 
РЕШЕНИЙ В УСЛОВИЯХ РИСКА И 
НЕОПРЕДЕЛЕННОСТИ НА ОСНОВЕ СТАТИСТИЧЕСКИХ МЕТОДОВ </t>
  </si>
  <si>
    <t>АНАЛИЗ И ПРИНЯТИЕ РЕШЕНИЙ  
НА ОСНОВЕ ЭКОНОМЕТРИЧЕСКИХ МОДЕЛЕЙ</t>
  </si>
  <si>
    <t xml:space="preserve">АНАЛИЗ И ПРИНЯТИЕ РЕШЕНИЙ НА ОСНОВЕ МЕТОДОВ 
КЛАСТЕРНОГО АНАЛИЗА </t>
  </si>
  <si>
    <t xml:space="preserve">1-й месяц </t>
  </si>
  <si>
    <t>2-й месяц</t>
  </si>
  <si>
    <t>3-й месяц</t>
  </si>
  <si>
    <t>Т1</t>
  </si>
  <si>
    <t>Т2</t>
  </si>
  <si>
    <t>Т3</t>
  </si>
  <si>
    <t>Т4</t>
  </si>
  <si>
    <t>Покупка</t>
  </si>
  <si>
    <t>Продажа</t>
  </si>
  <si>
    <t>Затраты, д.е.</t>
  </si>
  <si>
    <t xml:space="preserve">Т1 </t>
  </si>
  <si>
    <t xml:space="preserve">Т2 </t>
  </si>
  <si>
    <t xml:space="preserve">Т3 </t>
  </si>
  <si>
    <t>Едоп</t>
  </si>
  <si>
    <t>Выбор единственного решения</t>
  </si>
  <si>
    <t>Удельная эффективность</t>
  </si>
  <si>
    <t>Е</t>
  </si>
  <si>
    <t>Выбор комбинации решений</t>
  </si>
  <si>
    <t>V12</t>
  </si>
  <si>
    <t>V13</t>
  </si>
  <si>
    <t>V14</t>
  </si>
  <si>
    <t>V23</t>
  </si>
  <si>
    <t>V24</t>
  </si>
  <si>
    <t>V34</t>
  </si>
  <si>
    <t>Целевая Функция</t>
  </si>
  <si>
    <t>-&gt;</t>
  </si>
  <si>
    <t>min</t>
  </si>
  <si>
    <t>Ограничения:</t>
  </si>
  <si>
    <t>&gt;=</t>
  </si>
  <si>
    <t>=</t>
  </si>
  <si>
    <t>Решение:</t>
  </si>
  <si>
    <t>Регион</t>
  </si>
  <si>
    <t>Затраты на рекламу, тыс.ден.ед.</t>
  </si>
  <si>
    <t>Объём сбыта, тыс.шт</t>
  </si>
  <si>
    <t xml:space="preserve">Страна </t>
  </si>
  <si>
    <t>С7</t>
  </si>
  <si>
    <t>С8</t>
  </si>
  <si>
    <t>С9</t>
  </si>
  <si>
    <t>Средний доход на душу населения, ден.ед/год</t>
  </si>
  <si>
    <t>Доля населения имеющего высшее образование, %</t>
  </si>
  <si>
    <t>Меры различия</t>
  </si>
  <si>
    <t>Метод К средних</t>
  </si>
  <si>
    <t>Негосударственному предприятию требуется в короткие сроки получить дополнительную денежную сумму. Для этого имеются следующие возможности: 1) банковский кредит (А1); 2) сдача части производственных помещений в  аренду (А2); 3) продажа части производственных помещений (А3); 4) продажа части акций предприятия (А4). 
Выбор одного из способов производится с участием трех экспертов. Мнения экспертов следующие:  
− первый эксперт: лучший способ - аренда(а2), немного хуже - банковский кредит(а1), еще хуже - продажа части акций(а4), намного хуже - продажа помещений(а3); 
− второй эксперт: лучший способ - банковский кредит, хуже - аренда, примерно такой же (немного хуже) - продажа акций, намного хуже - продажа помещений; 
− третий эксперт: лучший способ - банковский кредит, немного хуже - аренда, значительно хуже - продажа помещений, еще хуже - продажа части акций.</t>
  </si>
  <si>
    <t>Метод Саати</t>
  </si>
  <si>
    <t>А1</t>
  </si>
  <si>
    <t>А2</t>
  </si>
  <si>
    <t>А3</t>
  </si>
  <si>
    <t>А4</t>
  </si>
  <si>
    <t>V1</t>
  </si>
  <si>
    <t>V2</t>
  </si>
  <si>
    <t>V3</t>
  </si>
  <si>
    <t>V4</t>
  </si>
  <si>
    <t>λ1</t>
  </si>
  <si>
    <t>λ2</t>
  </si>
  <si>
    <t>λ3</t>
  </si>
  <si>
    <t>R4</t>
  </si>
  <si>
    <t>λ4</t>
  </si>
  <si>
    <t>λ</t>
  </si>
  <si>
    <t>ИС</t>
  </si>
  <si>
    <t>СлС</t>
  </si>
  <si>
    <t>ОС</t>
  </si>
  <si>
    <t>Проверка</t>
  </si>
  <si>
    <t>Метод предпочтений</t>
  </si>
  <si>
    <t>M</t>
  </si>
  <si>
    <t>А</t>
  </si>
  <si>
    <t>W</t>
  </si>
  <si>
    <t>Э1</t>
  </si>
  <si>
    <t>Э2</t>
  </si>
  <si>
    <t>Э3</t>
  </si>
  <si>
    <t>C1</t>
  </si>
  <si>
    <t>S1</t>
  </si>
  <si>
    <t>C2</t>
  </si>
  <si>
    <t>S2</t>
  </si>
  <si>
    <t>C3</t>
  </si>
  <si>
    <t>S3</t>
  </si>
  <si>
    <t>C4</t>
  </si>
  <si>
    <t>S4</t>
  </si>
  <si>
    <t>C</t>
  </si>
  <si>
    <t>Метод ранга</t>
  </si>
  <si>
    <t>D3</t>
  </si>
  <si>
    <t>D4</t>
  </si>
  <si>
    <t>Dэ</t>
  </si>
  <si>
    <t>Dа</t>
  </si>
  <si>
    <t>Х1</t>
  </si>
  <si>
    <t>Х2</t>
  </si>
  <si>
    <t>Х3</t>
  </si>
  <si>
    <t>Х4</t>
  </si>
  <si>
    <t>Затраты на предварительные исследования рынка, тыс.ден.ед</t>
  </si>
  <si>
    <t>X</t>
  </si>
  <si>
    <t>Y</t>
  </si>
  <si>
    <t>Sx</t>
  </si>
  <si>
    <t>Sy</t>
  </si>
  <si>
    <t>Cумм_xy</t>
  </si>
  <si>
    <t>Т</t>
  </si>
  <si>
    <t>s</t>
  </si>
  <si>
    <t>Та/2;s</t>
  </si>
  <si>
    <t>Rxy</t>
  </si>
  <si>
    <t xml:space="preserve">Построение и проверка модели </t>
  </si>
  <si>
    <t>А0</t>
  </si>
  <si>
    <t>R^2</t>
  </si>
  <si>
    <t>F</t>
  </si>
  <si>
    <t>Qr</t>
  </si>
  <si>
    <t>Qe</t>
  </si>
  <si>
    <r>
      <t>F</t>
    </r>
    <r>
      <rPr>
        <i/>
        <sz val="11"/>
        <color rgb="FF006100"/>
        <rFont val="Aptos Narrow"/>
        <family val="2"/>
        <scheme val="minor"/>
      </rPr>
      <t>a;s1;s2</t>
    </r>
  </si>
  <si>
    <t>Y=5,51+1,02X</t>
  </si>
  <si>
    <t>Применение линейной экономической модели</t>
  </si>
  <si>
    <t>1) выс доход и выс доля</t>
  </si>
  <si>
    <t>2) низ доход и низ доля</t>
  </si>
  <si>
    <t>3) ср знач</t>
  </si>
  <si>
    <t>P01</t>
  </si>
  <si>
    <t>P02</t>
  </si>
  <si>
    <t>P03</t>
  </si>
  <si>
    <t>C6</t>
  </si>
  <si>
    <t>(4,1;30)</t>
  </si>
  <si>
    <t>(1,1;17)</t>
  </si>
  <si>
    <t>(2,8;23)</t>
  </si>
  <si>
    <t>точность</t>
  </si>
  <si>
    <t>объем сбыта</t>
  </si>
  <si>
    <t>затраты на рекламу</t>
  </si>
  <si>
    <t>исследование рынка</t>
  </si>
  <si>
    <t>0.95</t>
  </si>
  <si>
    <t>Средняя ожидаемая величина объёма сбыта:</t>
  </si>
  <si>
    <t>Ожидаемая величина сбыта с точностью 95%</t>
  </si>
  <si>
    <t>±</t>
  </si>
  <si>
    <t>Y0=</t>
  </si>
  <si>
    <r>
      <t>X</t>
    </r>
    <r>
      <rPr>
        <sz val="9"/>
        <color theme="1"/>
        <rFont val="Aptos Narrow"/>
        <family val="2"/>
        <scheme val="minor"/>
      </rPr>
      <t>0</t>
    </r>
    <r>
      <rPr>
        <sz val="11"/>
        <color theme="1"/>
        <rFont val="Aptos Narrow"/>
        <family val="2"/>
        <charset val="204"/>
        <scheme val="minor"/>
      </rPr>
      <t>=</t>
    </r>
  </si>
  <si>
    <t>T</t>
  </si>
  <si>
    <t>суммквX</t>
  </si>
  <si>
    <t>Xср</t>
  </si>
  <si>
    <t>Линейные эконометрические модели с несколькими входными переменными</t>
  </si>
  <si>
    <t>Построение и проверка экономической модели</t>
  </si>
  <si>
    <t>КоэфДет</t>
  </si>
  <si>
    <t>s1</t>
  </si>
  <si>
    <t>s2</t>
  </si>
  <si>
    <t>E1</t>
  </si>
  <si>
    <t>E2</t>
  </si>
  <si>
    <t>X1cp</t>
  </si>
  <si>
    <t>X2cp</t>
  </si>
  <si>
    <t>Ycp</t>
  </si>
  <si>
    <t>Ожидаемый объём сбыта:</t>
  </si>
  <si>
    <r>
      <rPr>
        <sz val="10"/>
        <color theme="1"/>
        <rFont val="Aptos Narrow"/>
        <family val="2"/>
        <scheme val="minor"/>
      </rPr>
      <t>ПРИНЯТИЕ РЕШЕНИЙ  
В НЕСТРУКТУРИРОВАННЫХ ЗАДАЧАХ  
НА ОСНОВЕ МЕТОДОВ ЭКСПЕРТНОГО АНАЛИЗ</t>
    </r>
    <r>
      <rPr>
        <sz val="11"/>
        <color theme="1"/>
        <rFont val="Aptos Narrow"/>
        <family val="2"/>
        <charset val="204"/>
        <scheme val="minor"/>
      </rPr>
      <t>А</t>
    </r>
  </si>
  <si>
    <t xml:space="preserve">
РЕШЕНИЕ СЛАБОСТРУКТУРИРОВАННЫХ ЗАДАЧ  
НА ОСНОВЕ МЕТОДА АНАЛИЗА ИЕРАРХИЙ  
С ИСПОЛЬЗОВАНИЕМ СИСТЕМЫ ПОДДЕРЖКИ  
ПРИНЯТИЯ РЕШЕНИЙ ExpertChoice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</si>
</sst>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quot;Br&quot;_-;\-* #,##0.00\ &quot;Br&quot;_-;_-* &quot;-&quot;??\ &quot;Br&quot;_-;_-@_-"/>
    <numFmt numFmtId="165" formatCode="0.000"/>
    <numFmt numFmtId="166" formatCode="0.0000"/>
    <numFmt numFmtId="167" formatCode="0.00000"/>
  </numFmts>
  <fonts count="12" x14ac:knownFonts="1">
    <font>
      <sz val="11"/>
      <color theme="1"/>
      <name val="Aptos Narrow"/>
      <family val="2"/>
      <charset val="204"/>
      <scheme val="minor"/>
    </font>
    <font>
      <sz val="11"/>
      <color theme="1"/>
      <name val="Aptos Narrow"/>
      <family val="2"/>
      <charset val="204"/>
      <scheme val="minor"/>
    </font>
    <font>
      <sz val="11"/>
      <color rgb="FF006100"/>
      <name val="Aptos Narrow"/>
      <family val="2"/>
      <charset val="204"/>
      <scheme val="minor"/>
    </font>
    <font>
      <sz val="9"/>
      <color theme="1"/>
      <name val="Aptos Narrow"/>
      <family val="2"/>
      <scheme val="minor"/>
    </font>
    <font>
      <sz val="8"/>
      <name val="Aptos Narrow"/>
      <family val="2"/>
      <charset val="204"/>
      <scheme val="minor"/>
    </font>
    <font>
      <sz val="11"/>
      <color rgb="FF9C0006"/>
      <name val="Aptos Narrow"/>
      <family val="2"/>
      <charset val="204"/>
      <scheme val="minor"/>
    </font>
    <font>
      <sz val="8"/>
      <color rgb="FF006100"/>
      <name val="Aptos Narrow"/>
      <family val="2"/>
      <scheme val="minor"/>
    </font>
    <font>
      <sz val="11"/>
      <color theme="1"/>
      <name val="Aptos Narrow"/>
      <family val="2"/>
      <scheme val="minor"/>
    </font>
    <font>
      <sz val="10"/>
      <color theme="1"/>
      <name val="Aptos Narrow"/>
      <family val="2"/>
      <scheme val="minor"/>
    </font>
    <font>
      <i/>
      <sz val="11"/>
      <color rgb="FF006100"/>
      <name val="Aptos Narrow"/>
      <family val="2"/>
      <scheme val="minor"/>
    </font>
    <font>
      <sz val="11"/>
      <color theme="1"/>
      <name val="Times New Roman"/>
      <family val="1"/>
      <charset val="204"/>
    </font>
    <font>
      <sz val="12"/>
      <color theme="1"/>
      <name val="Times New Roman"/>
      <family val="1"/>
      <charset val="204"/>
    </font>
  </fonts>
  <fills count="10">
    <fill>
      <patternFill patternType="none"/>
    </fill>
    <fill>
      <patternFill patternType="gray125"/>
    </fill>
    <fill>
      <patternFill patternType="solid">
        <fgColor rgb="FFC6EFCE"/>
      </patternFill>
    </fill>
    <fill>
      <patternFill patternType="solid">
        <fgColor theme="9" tint="0.79998168889431442"/>
        <bgColor indexed="65"/>
      </patternFill>
    </fill>
    <fill>
      <patternFill patternType="solid">
        <fgColor rgb="FFFFFFCC"/>
      </patternFill>
    </fill>
    <fill>
      <patternFill patternType="solid">
        <fgColor theme="7" tint="0.79998168889431442"/>
        <bgColor indexed="65"/>
      </patternFill>
    </fill>
    <fill>
      <patternFill patternType="solid">
        <fgColor rgb="FFFFC7CE"/>
      </patternFill>
    </fill>
    <fill>
      <patternFill patternType="solid">
        <fgColor theme="4" tint="0.79998168889431442"/>
        <bgColor indexed="65"/>
      </patternFill>
    </fill>
    <fill>
      <patternFill patternType="solid">
        <fgColor theme="9" tint="0.59999389629810485"/>
        <bgColor indexed="65"/>
      </patternFill>
    </fill>
    <fill>
      <patternFill patternType="solid">
        <fgColor theme="5" tint="0.79998168889431442"/>
        <bgColor indexed="65"/>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auto="1"/>
      </left>
      <right style="thin">
        <color auto="1"/>
      </right>
      <top style="medium">
        <color auto="1"/>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top style="medium">
        <color indexed="64"/>
      </top>
      <bottom/>
      <diagonal/>
    </border>
    <border>
      <left/>
      <right style="thin">
        <color indexed="64"/>
      </right>
      <top style="medium">
        <color indexed="64"/>
      </top>
      <bottom style="medium">
        <color indexed="64"/>
      </bottom>
      <diagonal/>
    </border>
  </borders>
  <cellStyleXfs count="12">
    <xf numFmtId="0" fontId="0" fillId="0" borderId="0"/>
    <xf numFmtId="164"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9" fontId="1" fillId="0" borderId="0" applyFont="0" applyFill="0" applyBorder="0" applyAlignment="0" applyProtection="0"/>
    <xf numFmtId="0" fontId="1" fillId="4" borderId="2" applyNumberFormat="0" applyFont="0" applyAlignment="0" applyProtection="0"/>
    <xf numFmtId="0" fontId="1" fillId="5" borderId="0" applyNumberFormat="0" applyBorder="0" applyAlignment="0" applyProtection="0"/>
    <xf numFmtId="0" fontId="5"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7" fillId="0" borderId="0"/>
    <xf numFmtId="0" fontId="1" fillId="9" borderId="0" applyNumberFormat="0" applyBorder="0" applyAlignment="0" applyProtection="0"/>
  </cellStyleXfs>
  <cellXfs count="130">
    <xf numFmtId="0" fontId="0" fillId="0" borderId="0" xfId="0"/>
    <xf numFmtId="0" fontId="2" fillId="2" borderId="1" xfId="2" applyBorder="1"/>
    <xf numFmtId="0" fontId="1" fillId="3" borderId="1" xfId="3" applyBorder="1"/>
    <xf numFmtId="0" fontId="2" fillId="2" borderId="1" xfId="2" applyBorder="1" applyAlignment="1">
      <alignment horizontal="center" vertical="center"/>
    </xf>
    <xf numFmtId="0" fontId="2" fillId="2" borderId="1" xfId="2" applyBorder="1" applyAlignment="1">
      <alignment horizontal="center" vertical="center" wrapText="1"/>
    </xf>
    <xf numFmtId="0" fontId="1" fillId="3" borderId="1" xfId="3" applyBorder="1" applyAlignment="1">
      <alignment horizontal="center" vertical="center"/>
    </xf>
    <xf numFmtId="0" fontId="1" fillId="3" borderId="1" xfId="3" applyBorder="1" applyAlignment="1">
      <alignment horizontal="center" vertical="center" wrapText="1"/>
    </xf>
    <xf numFmtId="0" fontId="1" fillId="3" borderId="1" xfId="3" applyNumberFormat="1" applyBorder="1"/>
    <xf numFmtId="12" fontId="1" fillId="3" borderId="1" xfId="3" applyNumberFormat="1" applyBorder="1"/>
    <xf numFmtId="0" fontId="0" fillId="0" borderId="1" xfId="0" applyBorder="1"/>
    <xf numFmtId="12" fontId="1" fillId="3" borderId="1" xfId="1" applyNumberFormat="1" applyFill="1" applyBorder="1"/>
    <xf numFmtId="0" fontId="1" fillId="3" borderId="1" xfId="1" applyNumberFormat="1" applyFill="1" applyBorder="1"/>
    <xf numFmtId="0" fontId="0" fillId="0" borderId="0" xfId="0" applyAlignment="1">
      <alignment wrapText="1"/>
    </xf>
    <xf numFmtId="0" fontId="0" fillId="0" borderId="1" xfId="0" applyBorder="1" applyAlignment="1">
      <alignment horizontal="left" wrapText="1"/>
    </xf>
    <xf numFmtId="0" fontId="0" fillId="0" borderId="1" xfId="0" applyBorder="1" applyAlignment="1">
      <alignment wrapText="1"/>
    </xf>
    <xf numFmtId="0" fontId="1" fillId="5" borderId="0" xfId="6" applyAlignment="1">
      <alignment wrapText="1"/>
    </xf>
    <xf numFmtId="0" fontId="1" fillId="5" borderId="0" xfId="6"/>
    <xf numFmtId="0" fontId="0" fillId="0" borderId="0" xfId="0" applyAlignment="1">
      <alignment horizontal="left" wrapText="1"/>
    </xf>
    <xf numFmtId="0" fontId="1" fillId="4" borderId="1" xfId="5" applyBorder="1"/>
    <xf numFmtId="0" fontId="0" fillId="4" borderId="1" xfId="5" applyFont="1" applyBorder="1"/>
    <xf numFmtId="0" fontId="2" fillId="2" borderId="1" xfId="2" applyBorder="1" applyAlignment="1"/>
    <xf numFmtId="0" fontId="2" fillId="2" borderId="1" xfId="2" applyBorder="1" applyAlignment="1">
      <alignment horizontal="right"/>
    </xf>
    <xf numFmtId="165" fontId="1" fillId="3" borderId="1" xfId="3" applyNumberFormat="1" applyBorder="1" applyAlignment="1">
      <alignment horizontal="center" vertical="center"/>
    </xf>
    <xf numFmtId="2" fontId="1" fillId="3" borderId="1" xfId="3" applyNumberFormat="1" applyBorder="1" applyAlignment="1">
      <alignment horizontal="center" vertical="center"/>
    </xf>
    <xf numFmtId="0" fontId="5" fillId="6" borderId="1" xfId="7" applyBorder="1"/>
    <xf numFmtId="165" fontId="1" fillId="3" borderId="1" xfId="3" applyNumberFormat="1" applyBorder="1"/>
    <xf numFmtId="2" fontId="1" fillId="3" borderId="1" xfId="3" applyNumberFormat="1" applyBorder="1"/>
    <xf numFmtId="165" fontId="5" fillId="6" borderId="1" xfId="7" applyNumberFormat="1" applyBorder="1" applyAlignment="1">
      <alignment horizontal="center" vertical="center"/>
    </xf>
    <xf numFmtId="0" fontId="1" fillId="3" borderId="1" xfId="3" applyNumberFormat="1" applyBorder="1" applyAlignment="1">
      <alignment horizontal="center" vertical="center"/>
    </xf>
    <xf numFmtId="2" fontId="5" fillId="6" borderId="1" xfId="7" applyNumberFormat="1" applyBorder="1"/>
    <xf numFmtId="0" fontId="0" fillId="0" borderId="0" xfId="0" applyAlignment="1">
      <alignment horizontal="center"/>
    </xf>
    <xf numFmtId="0" fontId="1" fillId="3" borderId="1" xfId="3" applyBorder="1" applyAlignment="1">
      <alignment horizontal="center"/>
    </xf>
    <xf numFmtId="0" fontId="2" fillId="2" borderId="1" xfId="2" applyBorder="1" applyAlignment="1">
      <alignment horizontal="center"/>
    </xf>
    <xf numFmtId="0" fontId="2" fillId="2" borderId="1" xfId="2" applyBorder="1" applyAlignment="1">
      <alignment wrapText="1"/>
    </xf>
    <xf numFmtId="0" fontId="1" fillId="3" borderId="1" xfId="3" applyBorder="1" applyAlignment="1">
      <alignment wrapText="1"/>
    </xf>
    <xf numFmtId="0" fontId="1" fillId="8" borderId="1" xfId="9" applyBorder="1" applyAlignment="1">
      <alignment horizontal="center"/>
    </xf>
    <xf numFmtId="0" fontId="1" fillId="8" borderId="1" xfId="9" applyBorder="1" applyAlignment="1">
      <alignment horizontal="center" wrapText="1"/>
    </xf>
    <xf numFmtId="0" fontId="1" fillId="7" borderId="0" xfId="8"/>
    <xf numFmtId="2" fontId="1" fillId="3" borderId="1" xfId="3" applyNumberFormat="1" applyBorder="1" applyAlignment="1">
      <alignment wrapText="1"/>
    </xf>
    <xf numFmtId="166" fontId="1" fillId="3" borderId="1" xfId="3" applyNumberFormat="1" applyBorder="1"/>
    <xf numFmtId="166" fontId="1" fillId="8" borderId="1" xfId="9" applyNumberFormat="1" applyBorder="1"/>
    <xf numFmtId="0" fontId="1" fillId="7" borderId="0" xfId="8" applyBorder="1"/>
    <xf numFmtId="167" fontId="1" fillId="3" borderId="1" xfId="3" applyNumberFormat="1" applyBorder="1"/>
    <xf numFmtId="0" fontId="2" fillId="2" borderId="8" xfId="2" applyBorder="1" applyAlignment="1">
      <alignment horizontal="center" vertical="center" wrapText="1"/>
    </xf>
    <xf numFmtId="0" fontId="2" fillId="2" borderId="12" xfId="2" applyBorder="1" applyAlignment="1">
      <alignment horizontal="center" vertical="center" wrapText="1"/>
    </xf>
    <xf numFmtId="0" fontId="2" fillId="2" borderId="12" xfId="2" applyBorder="1" applyAlignment="1">
      <alignment horizontal="center" vertical="center"/>
    </xf>
    <xf numFmtId="0" fontId="2" fillId="2" borderId="15" xfId="2" applyBorder="1" applyAlignment="1">
      <alignment horizontal="center" vertical="center"/>
    </xf>
    <xf numFmtId="0" fontId="1" fillId="3" borderId="9" xfId="3" applyBorder="1" applyAlignment="1">
      <alignment horizontal="right" vertical="center"/>
    </xf>
    <xf numFmtId="0" fontId="1" fillId="3" borderId="10" xfId="3" quotePrefix="1" applyBorder="1" applyAlignment="1">
      <alignment horizontal="center" vertical="center"/>
    </xf>
    <xf numFmtId="0" fontId="1" fillId="3" borderId="10" xfId="3" applyBorder="1" applyAlignment="1">
      <alignment horizontal="left" vertical="center"/>
    </xf>
    <xf numFmtId="0" fontId="1" fillId="3" borderId="11" xfId="3" applyBorder="1" applyAlignment="1">
      <alignment horizontal="center" vertical="center"/>
    </xf>
    <xf numFmtId="0" fontId="1" fillId="3" borderId="3" xfId="3" applyBorder="1" applyAlignment="1">
      <alignment horizontal="right" vertical="center"/>
    </xf>
    <xf numFmtId="0" fontId="1" fillId="3" borderId="4" xfId="3" applyBorder="1" applyAlignment="1">
      <alignment horizontal="center" vertical="center"/>
    </xf>
    <xf numFmtId="0" fontId="1" fillId="3" borderId="4" xfId="3" applyBorder="1" applyAlignment="1">
      <alignment horizontal="left" vertical="center"/>
    </xf>
    <xf numFmtId="0" fontId="1" fillId="3" borderId="13" xfId="3" applyBorder="1"/>
    <xf numFmtId="0" fontId="1" fillId="3" borderId="4" xfId="3" quotePrefix="1" applyBorder="1" applyAlignment="1">
      <alignment horizontal="center" vertical="center"/>
    </xf>
    <xf numFmtId="0" fontId="1" fillId="3" borderId="13" xfId="3" applyBorder="1" applyAlignment="1">
      <alignment horizontal="center" vertical="center"/>
    </xf>
    <xf numFmtId="0" fontId="1" fillId="3" borderId="16" xfId="3" applyBorder="1" applyAlignment="1">
      <alignment horizontal="center" vertical="center"/>
    </xf>
    <xf numFmtId="0" fontId="1" fillId="3" borderId="17" xfId="3" applyBorder="1" applyAlignment="1">
      <alignment horizontal="center" vertical="center"/>
    </xf>
    <xf numFmtId="0" fontId="1" fillId="8" borderId="12" xfId="9" applyBorder="1" applyAlignment="1">
      <alignment horizontal="center" vertical="center"/>
    </xf>
    <xf numFmtId="0" fontId="1" fillId="8" borderId="1" xfId="9" applyBorder="1" applyAlignment="1">
      <alignment horizontal="center" vertical="center"/>
    </xf>
    <xf numFmtId="0" fontId="1" fillId="8" borderId="14" xfId="9" applyBorder="1" applyAlignment="1">
      <alignment horizontal="center" vertical="center"/>
    </xf>
    <xf numFmtId="166" fontId="1" fillId="3" borderId="1" xfId="3" applyNumberFormat="1" applyBorder="1" applyAlignment="1">
      <alignment horizontal="center" vertical="center"/>
    </xf>
    <xf numFmtId="166" fontId="1" fillId="9" borderId="1" xfId="11" applyNumberFormat="1" applyBorder="1"/>
    <xf numFmtId="12" fontId="0" fillId="3" borderId="1" xfId="1" applyNumberFormat="1" applyFont="1" applyFill="1" applyBorder="1" applyAlignment="1">
      <alignment horizontal="center" vertical="center"/>
    </xf>
    <xf numFmtId="12" fontId="1" fillId="3" borderId="1" xfId="1" applyNumberFormat="1" applyFill="1" applyBorder="1" applyAlignment="1">
      <alignment horizontal="center" vertical="center"/>
    </xf>
    <xf numFmtId="0" fontId="7" fillId="0" borderId="0" xfId="10"/>
    <xf numFmtId="0" fontId="11" fillId="0" borderId="0" xfId="10" applyFont="1"/>
    <xf numFmtId="0" fontId="10" fillId="0" borderId="0" xfId="10" applyFont="1"/>
    <xf numFmtId="0" fontId="10" fillId="0" borderId="0" xfId="10" applyFont="1" applyAlignment="1">
      <alignment horizontal="right"/>
    </xf>
    <xf numFmtId="0" fontId="1" fillId="3" borderId="23" xfId="3" applyBorder="1" applyAlignment="1">
      <alignment horizontal="center"/>
    </xf>
    <xf numFmtId="0" fontId="1" fillId="3" borderId="19" xfId="3" applyBorder="1" applyAlignment="1">
      <alignment horizontal="right"/>
    </xf>
    <xf numFmtId="0" fontId="1" fillId="3" borderId="19" xfId="3" applyBorder="1"/>
    <xf numFmtId="0" fontId="1" fillId="3" borderId="23" xfId="3" applyBorder="1"/>
    <xf numFmtId="0" fontId="1" fillId="3" borderId="20" xfId="3" applyBorder="1"/>
    <xf numFmtId="0" fontId="0" fillId="3" borderId="19" xfId="3" applyFont="1" applyBorder="1" applyAlignment="1">
      <alignment horizontal="right"/>
    </xf>
    <xf numFmtId="0" fontId="1" fillId="3" borderId="1" xfId="3" applyBorder="1" applyAlignment="1">
      <alignment horizontal="left"/>
    </xf>
    <xf numFmtId="0" fontId="1" fillId="3" borderId="1" xfId="3" applyBorder="1" applyAlignment="1">
      <alignment vertical="center"/>
    </xf>
    <xf numFmtId="165" fontId="1" fillId="3" borderId="1" xfId="3" applyNumberFormat="1" applyBorder="1" applyAlignment="1">
      <alignment vertical="center"/>
    </xf>
    <xf numFmtId="0" fontId="2" fillId="2" borderId="1" xfId="2" applyBorder="1" applyAlignment="1">
      <alignment horizontal="center"/>
    </xf>
    <xf numFmtId="0" fontId="0" fillId="0" borderId="0" xfId="0" applyAlignment="1">
      <alignment horizontal="center" wrapText="1"/>
    </xf>
    <xf numFmtId="0" fontId="2" fillId="2" borderId="1" xfId="2" applyBorder="1" applyAlignment="1">
      <alignment horizontal="center" vertical="center"/>
    </xf>
    <xf numFmtId="0" fontId="2" fillId="2" borderId="1" xfId="2" applyBorder="1" applyAlignment="1">
      <alignment horizontal="center" vertical="center" wrapText="1"/>
    </xf>
    <xf numFmtId="0" fontId="7" fillId="0" borderId="0" xfId="0" applyFont="1" applyAlignment="1">
      <alignment horizontal="center" wrapText="1"/>
    </xf>
    <xf numFmtId="0" fontId="0" fillId="0" borderId="0" xfId="0" applyAlignment="1">
      <alignment horizontal="left" vertical="center" wrapText="1"/>
    </xf>
    <xf numFmtId="0" fontId="0" fillId="0" borderId="18" xfId="0" applyBorder="1" applyAlignment="1">
      <alignment horizontal="center"/>
    </xf>
    <xf numFmtId="0" fontId="0" fillId="0" borderId="0" xfId="0" applyAlignment="1">
      <alignment horizontal="center"/>
    </xf>
    <xf numFmtId="0" fontId="3" fillId="0" borderId="0" xfId="0" applyFont="1" applyAlignment="1">
      <alignment horizontal="center" wrapText="1"/>
    </xf>
    <xf numFmtId="0" fontId="1" fillId="3" borderId="1" xfId="3" applyBorder="1" applyAlignment="1">
      <alignment horizontal="center"/>
    </xf>
    <xf numFmtId="0" fontId="1" fillId="3" borderId="1" xfId="4" applyNumberFormat="1" applyFill="1" applyBorder="1" applyAlignment="1">
      <alignment horizontal="center"/>
    </xf>
    <xf numFmtId="0" fontId="2" fillId="2" borderId="1" xfId="2" applyBorder="1" applyAlignment="1">
      <alignment horizontal="center" wrapText="1"/>
    </xf>
    <xf numFmtId="12" fontId="1" fillId="3" borderId="1" xfId="1" applyNumberFormat="1" applyFill="1" applyBorder="1" applyAlignment="1">
      <alignment horizontal="center"/>
    </xf>
    <xf numFmtId="164" fontId="1" fillId="3" borderId="1" xfId="1" applyFill="1" applyBorder="1" applyAlignment="1">
      <alignment horizontal="center"/>
    </xf>
    <xf numFmtId="0" fontId="1" fillId="3" borderId="1" xfId="3" applyNumberFormat="1" applyBorder="1" applyAlignment="1">
      <alignment horizontal="center"/>
    </xf>
    <xf numFmtId="0" fontId="1" fillId="3" borderId="1" xfId="1" applyNumberFormat="1" applyFill="1" applyBorder="1" applyAlignment="1">
      <alignment horizontal="center"/>
    </xf>
    <xf numFmtId="12" fontId="1" fillId="3" borderId="1" xfId="3" applyNumberFormat="1" applyBorder="1" applyAlignment="1">
      <alignment horizontal="center"/>
    </xf>
    <xf numFmtId="164" fontId="1" fillId="3" borderId="1" xfId="3" applyNumberFormat="1" applyBorder="1" applyAlignment="1">
      <alignment horizontal="center"/>
    </xf>
    <xf numFmtId="0" fontId="0" fillId="4" borderId="1" xfId="5" applyFont="1" applyBorder="1" applyAlignment="1">
      <alignment horizontal="center"/>
    </xf>
    <xf numFmtId="0" fontId="0" fillId="0" borderId="1"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0" xfId="0" applyAlignment="1">
      <alignment horizontal="center" vertical="center" wrapText="1"/>
    </xf>
    <xf numFmtId="0" fontId="1" fillId="5" borderId="0" xfId="6" applyAlignment="1">
      <alignment horizontal="center"/>
    </xf>
    <xf numFmtId="0" fontId="2" fillId="2" borderId="3" xfId="2" applyBorder="1" applyAlignment="1">
      <alignment horizontal="center"/>
    </xf>
    <xf numFmtId="0" fontId="2" fillId="2" borderId="4" xfId="2" applyBorder="1" applyAlignment="1">
      <alignment horizontal="center"/>
    </xf>
    <xf numFmtId="0" fontId="2" fillId="2" borderId="5" xfId="2" applyBorder="1" applyAlignment="1">
      <alignment horizontal="center"/>
    </xf>
    <xf numFmtId="0" fontId="2" fillId="2" borderId="6" xfId="2" applyBorder="1" applyAlignment="1">
      <alignment horizontal="center" wrapText="1"/>
    </xf>
    <xf numFmtId="0" fontId="2" fillId="2" borderId="7" xfId="2" applyBorder="1" applyAlignment="1">
      <alignment horizontal="center" wrapText="1"/>
    </xf>
    <xf numFmtId="0" fontId="2" fillId="2" borderId="3" xfId="2" applyBorder="1" applyAlignment="1">
      <alignment horizontal="center" wrapText="1"/>
    </xf>
    <xf numFmtId="0" fontId="2" fillId="2" borderId="4" xfId="2" applyBorder="1" applyAlignment="1">
      <alignment horizontal="center" wrapText="1"/>
    </xf>
    <xf numFmtId="0" fontId="2" fillId="2" borderId="5" xfId="2" applyBorder="1" applyAlignment="1">
      <alignment horizontal="center" wrapText="1"/>
    </xf>
    <xf numFmtId="0" fontId="2" fillId="2" borderId="1" xfId="2" applyBorder="1" applyAlignment="1">
      <alignment horizontal="left"/>
    </xf>
    <xf numFmtId="0" fontId="2" fillId="2" borderId="1" xfId="2" applyBorder="1" applyAlignment="1">
      <alignment horizontal="left" vertical="center"/>
    </xf>
    <xf numFmtId="0" fontId="2" fillId="2" borderId="3" xfId="2" applyBorder="1" applyAlignment="1">
      <alignment horizontal="left" wrapText="1"/>
    </xf>
    <xf numFmtId="0" fontId="2" fillId="2" borderId="4" xfId="2" applyBorder="1" applyAlignment="1">
      <alignment horizontal="left" wrapText="1"/>
    </xf>
    <xf numFmtId="0" fontId="2" fillId="2" borderId="5" xfId="2" applyBorder="1" applyAlignment="1">
      <alignment horizontal="left" wrapText="1"/>
    </xf>
    <xf numFmtId="0" fontId="2" fillId="2" borderId="21" xfId="2" applyBorder="1" applyAlignment="1">
      <alignment horizontal="center"/>
    </xf>
    <xf numFmtId="0" fontId="2" fillId="2" borderId="24" xfId="2" applyBorder="1" applyAlignment="1">
      <alignment horizontal="center"/>
    </xf>
    <xf numFmtId="0" fontId="2" fillId="2" borderId="22" xfId="2" applyBorder="1" applyAlignment="1">
      <alignment horizontal="center"/>
    </xf>
    <xf numFmtId="0" fontId="2" fillId="2" borderId="19" xfId="2" applyBorder="1" applyAlignment="1">
      <alignment horizontal="center"/>
    </xf>
    <xf numFmtId="0" fontId="2" fillId="2" borderId="23" xfId="2" applyBorder="1" applyAlignment="1">
      <alignment horizontal="center"/>
    </xf>
    <xf numFmtId="0" fontId="2" fillId="2" borderId="20" xfId="2" applyBorder="1" applyAlignment="1">
      <alignment horizontal="center"/>
    </xf>
    <xf numFmtId="0" fontId="1" fillId="3" borderId="23" xfId="3" applyBorder="1" applyAlignment="1">
      <alignment horizontal="left"/>
    </xf>
    <xf numFmtId="0" fontId="1" fillId="3" borderId="25" xfId="3" applyBorder="1" applyAlignment="1">
      <alignment horizontal="left"/>
    </xf>
    <xf numFmtId="0" fontId="1" fillId="7" borderId="0" xfId="8" applyBorder="1" applyAlignment="1">
      <alignment horizontal="center"/>
    </xf>
    <xf numFmtId="0" fontId="1" fillId="8" borderId="3" xfId="9" applyBorder="1" applyAlignment="1">
      <alignment horizontal="center"/>
    </xf>
    <xf numFmtId="0" fontId="1" fillId="8" borderId="5" xfId="9" applyBorder="1" applyAlignment="1">
      <alignment horizontal="center"/>
    </xf>
    <xf numFmtId="0" fontId="2" fillId="2" borderId="1" xfId="2" applyBorder="1" applyAlignment="1">
      <alignment horizontal="left" wrapText="1"/>
    </xf>
    <xf numFmtId="0" fontId="1" fillId="7" borderId="0" xfId="8" applyAlignment="1">
      <alignment horizontal="center"/>
    </xf>
  </cellXfs>
  <cellStyles count="12">
    <cellStyle name="20% — акцент1" xfId="8" builtinId="30"/>
    <cellStyle name="20% — акцент2" xfId="11" builtinId="34"/>
    <cellStyle name="20% — акцент4" xfId="6" builtinId="42"/>
    <cellStyle name="20% — акцент6" xfId="3" builtinId="50"/>
    <cellStyle name="40% — акцент6" xfId="9" builtinId="51"/>
    <cellStyle name="Денежный" xfId="1" builtinId="4"/>
    <cellStyle name="Обычный" xfId="0" builtinId="0"/>
    <cellStyle name="Обычный 2" xfId="10" xr:uid="{1D3C1AC5-4ED6-42C4-A273-FB912BBA7213}"/>
    <cellStyle name="Плохой" xfId="7" builtinId="27"/>
    <cellStyle name="Примечание" xfId="5" builtinId="10"/>
    <cellStyle name="Процентный" xfId="4" builtinId="5"/>
    <cellStyle name="Хороший"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51</xdr:row>
      <xdr:rowOff>0</xdr:rowOff>
    </xdr:from>
    <xdr:to>
      <xdr:col>6</xdr:col>
      <xdr:colOff>949081</xdr:colOff>
      <xdr:row>62</xdr:row>
      <xdr:rowOff>167640</xdr:rowOff>
    </xdr:to>
    <xdr:pic>
      <xdr:nvPicPr>
        <xdr:cNvPr id="2" name="Рисунок 1">
          <a:extLst>
            <a:ext uri="{FF2B5EF4-FFF2-40B4-BE49-F238E27FC236}">
              <a16:creationId xmlns:a16="http://schemas.microsoft.com/office/drawing/2014/main" id="{33C3AFFB-F905-40DA-D643-C72905264099}"/>
            </a:ext>
          </a:extLst>
        </xdr:cNvPr>
        <xdr:cNvPicPr>
          <a:picLocks noChangeAspect="1"/>
        </xdr:cNvPicPr>
      </xdr:nvPicPr>
      <xdr:blipFill>
        <a:blip xmlns:r="http://schemas.openxmlformats.org/officeDocument/2006/relationships" r:embed="rId1"/>
        <a:stretch>
          <a:fillRect/>
        </a:stretch>
      </xdr:blipFill>
      <xdr:spPr>
        <a:xfrm>
          <a:off x="1" y="9959340"/>
          <a:ext cx="6328800" cy="2179320"/>
        </a:xfrm>
        <a:prstGeom prst="rect">
          <a:avLst/>
        </a:prstGeom>
      </xdr:spPr>
    </xdr:pic>
    <xdr:clientData/>
  </xdr:twoCellAnchor>
  <xdr:twoCellAnchor editAs="oneCell">
    <xdr:from>
      <xdr:col>0</xdr:col>
      <xdr:colOff>0</xdr:colOff>
      <xdr:row>63</xdr:row>
      <xdr:rowOff>160020</xdr:rowOff>
    </xdr:from>
    <xdr:to>
      <xdr:col>6</xdr:col>
      <xdr:colOff>922020</xdr:colOff>
      <xdr:row>69</xdr:row>
      <xdr:rowOff>110805</xdr:rowOff>
    </xdr:to>
    <xdr:pic>
      <xdr:nvPicPr>
        <xdr:cNvPr id="3" name="Рисунок 2">
          <a:extLst>
            <a:ext uri="{FF2B5EF4-FFF2-40B4-BE49-F238E27FC236}">
              <a16:creationId xmlns:a16="http://schemas.microsoft.com/office/drawing/2014/main" id="{F703D541-8C95-BA63-67C4-6EDF2AFE262E}"/>
            </a:ext>
          </a:extLst>
        </xdr:cNvPr>
        <xdr:cNvPicPr>
          <a:picLocks noChangeAspect="1"/>
        </xdr:cNvPicPr>
      </xdr:nvPicPr>
      <xdr:blipFill>
        <a:blip xmlns:r="http://schemas.openxmlformats.org/officeDocument/2006/relationships" r:embed="rId2"/>
        <a:stretch>
          <a:fillRect/>
        </a:stretch>
      </xdr:blipFill>
      <xdr:spPr>
        <a:xfrm>
          <a:off x="0" y="12313920"/>
          <a:ext cx="6301740" cy="1048065"/>
        </a:xfrm>
        <a:prstGeom prst="rect">
          <a:avLst/>
        </a:prstGeom>
      </xdr:spPr>
    </xdr:pic>
    <xdr:clientData/>
  </xdr:twoCellAnchor>
  <xdr:twoCellAnchor editAs="oneCell">
    <xdr:from>
      <xdr:col>0</xdr:col>
      <xdr:colOff>0</xdr:colOff>
      <xdr:row>71</xdr:row>
      <xdr:rowOff>0</xdr:rowOff>
    </xdr:from>
    <xdr:to>
      <xdr:col>6</xdr:col>
      <xdr:colOff>914641</xdr:colOff>
      <xdr:row>76</xdr:row>
      <xdr:rowOff>144780</xdr:rowOff>
    </xdr:to>
    <xdr:pic>
      <xdr:nvPicPr>
        <xdr:cNvPr id="4" name="Рисунок 3">
          <a:extLst>
            <a:ext uri="{FF2B5EF4-FFF2-40B4-BE49-F238E27FC236}">
              <a16:creationId xmlns:a16="http://schemas.microsoft.com/office/drawing/2014/main" id="{9C85ED64-2312-4BD3-5DDF-FCCB27B57337}"/>
            </a:ext>
          </a:extLst>
        </xdr:cNvPr>
        <xdr:cNvPicPr>
          <a:picLocks noChangeAspect="1"/>
        </xdr:cNvPicPr>
      </xdr:nvPicPr>
      <xdr:blipFill>
        <a:blip xmlns:r="http://schemas.openxmlformats.org/officeDocument/2006/relationships" r:embed="rId3"/>
        <a:stretch>
          <a:fillRect/>
        </a:stretch>
      </xdr:blipFill>
      <xdr:spPr>
        <a:xfrm>
          <a:off x="0" y="13616940"/>
          <a:ext cx="6294361" cy="1059180"/>
        </a:xfrm>
        <a:prstGeom prst="rect">
          <a:avLst/>
        </a:prstGeom>
      </xdr:spPr>
    </xdr:pic>
    <xdr:clientData/>
  </xdr:twoCellAnchor>
  <xdr:twoCellAnchor editAs="oneCell">
    <xdr:from>
      <xdr:col>0</xdr:col>
      <xdr:colOff>0</xdr:colOff>
      <xdr:row>78</xdr:row>
      <xdr:rowOff>7620</xdr:rowOff>
    </xdr:from>
    <xdr:to>
      <xdr:col>6</xdr:col>
      <xdr:colOff>960120</xdr:colOff>
      <xdr:row>84</xdr:row>
      <xdr:rowOff>45833</xdr:rowOff>
    </xdr:to>
    <xdr:pic>
      <xdr:nvPicPr>
        <xdr:cNvPr id="5" name="Рисунок 4">
          <a:extLst>
            <a:ext uri="{FF2B5EF4-FFF2-40B4-BE49-F238E27FC236}">
              <a16:creationId xmlns:a16="http://schemas.microsoft.com/office/drawing/2014/main" id="{6C2C5885-D7DD-0407-41AA-84A508627862}"/>
            </a:ext>
          </a:extLst>
        </xdr:cNvPr>
        <xdr:cNvPicPr>
          <a:picLocks noChangeAspect="1"/>
        </xdr:cNvPicPr>
      </xdr:nvPicPr>
      <xdr:blipFill>
        <a:blip xmlns:r="http://schemas.openxmlformats.org/officeDocument/2006/relationships" r:embed="rId4"/>
        <a:stretch>
          <a:fillRect/>
        </a:stretch>
      </xdr:blipFill>
      <xdr:spPr>
        <a:xfrm>
          <a:off x="0" y="14904720"/>
          <a:ext cx="6339840" cy="1135493"/>
        </a:xfrm>
        <a:prstGeom prst="rect">
          <a:avLst/>
        </a:prstGeom>
      </xdr:spPr>
    </xdr:pic>
    <xdr:clientData/>
  </xdr:twoCellAnchor>
  <xdr:twoCellAnchor editAs="oneCell">
    <xdr:from>
      <xdr:col>0</xdr:col>
      <xdr:colOff>0</xdr:colOff>
      <xdr:row>85</xdr:row>
      <xdr:rowOff>1</xdr:rowOff>
    </xdr:from>
    <xdr:to>
      <xdr:col>6</xdr:col>
      <xdr:colOff>960303</xdr:colOff>
      <xdr:row>91</xdr:row>
      <xdr:rowOff>15241</xdr:rowOff>
    </xdr:to>
    <xdr:pic>
      <xdr:nvPicPr>
        <xdr:cNvPr id="6" name="Рисунок 5">
          <a:extLst>
            <a:ext uri="{FF2B5EF4-FFF2-40B4-BE49-F238E27FC236}">
              <a16:creationId xmlns:a16="http://schemas.microsoft.com/office/drawing/2014/main" id="{222AA8C5-3AB9-AE40-D9C2-49961C2C01E5}"/>
            </a:ext>
          </a:extLst>
        </xdr:cNvPr>
        <xdr:cNvPicPr>
          <a:picLocks noChangeAspect="1"/>
        </xdr:cNvPicPr>
      </xdr:nvPicPr>
      <xdr:blipFill>
        <a:blip xmlns:r="http://schemas.openxmlformats.org/officeDocument/2006/relationships" r:embed="rId5"/>
        <a:stretch>
          <a:fillRect/>
        </a:stretch>
      </xdr:blipFill>
      <xdr:spPr>
        <a:xfrm>
          <a:off x="0" y="16177261"/>
          <a:ext cx="6340023" cy="1112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16</xdr:row>
      <xdr:rowOff>0</xdr:rowOff>
    </xdr:from>
    <xdr:to>
      <xdr:col>22</xdr:col>
      <xdr:colOff>519953</xdr:colOff>
      <xdr:row>21</xdr:row>
      <xdr:rowOff>74542</xdr:rowOff>
    </xdr:to>
    <xdr:pic>
      <xdr:nvPicPr>
        <xdr:cNvPr id="2" name="Рисунок 1">
          <a:extLst>
            <a:ext uri="{FF2B5EF4-FFF2-40B4-BE49-F238E27FC236}">
              <a16:creationId xmlns:a16="http://schemas.microsoft.com/office/drawing/2014/main" id="{0D0720A4-637E-C45B-58F6-996CBE02213F}"/>
            </a:ext>
          </a:extLst>
        </xdr:cNvPr>
        <xdr:cNvPicPr>
          <a:picLocks noChangeAspect="1"/>
        </xdr:cNvPicPr>
      </xdr:nvPicPr>
      <xdr:blipFill>
        <a:blip xmlns:r="http://schemas.openxmlformats.org/officeDocument/2006/relationships" r:embed="rId1"/>
        <a:stretch>
          <a:fillRect/>
        </a:stretch>
      </xdr:blipFill>
      <xdr:spPr>
        <a:xfrm>
          <a:off x="8677835" y="3863788"/>
          <a:ext cx="2958353" cy="971013"/>
        </a:xfrm>
        <a:prstGeom prst="rect">
          <a:avLst/>
        </a:prstGeom>
      </xdr:spPr>
    </xdr:pic>
    <xdr:clientData/>
  </xdr:twoCellAnchor>
  <xdr:twoCellAnchor editAs="oneCell">
    <xdr:from>
      <xdr:col>17</xdr:col>
      <xdr:colOff>0</xdr:colOff>
      <xdr:row>28</xdr:row>
      <xdr:rowOff>0</xdr:rowOff>
    </xdr:from>
    <xdr:to>
      <xdr:col>21</xdr:col>
      <xdr:colOff>8465</xdr:colOff>
      <xdr:row>32</xdr:row>
      <xdr:rowOff>91439</xdr:rowOff>
    </xdr:to>
    <xdr:pic>
      <xdr:nvPicPr>
        <xdr:cNvPr id="3" name="Рисунок 2">
          <a:extLst>
            <a:ext uri="{FF2B5EF4-FFF2-40B4-BE49-F238E27FC236}">
              <a16:creationId xmlns:a16="http://schemas.microsoft.com/office/drawing/2014/main" id="{49D3C463-6040-A693-C5A7-A52BFA8B69C4}"/>
            </a:ext>
          </a:extLst>
        </xdr:cNvPr>
        <xdr:cNvPicPr>
          <a:picLocks noChangeAspect="1"/>
        </xdr:cNvPicPr>
      </xdr:nvPicPr>
      <xdr:blipFill>
        <a:blip xmlns:r="http://schemas.openxmlformats.org/officeDocument/2006/relationships" r:embed="rId2"/>
        <a:stretch>
          <a:fillRect/>
        </a:stretch>
      </xdr:blipFill>
      <xdr:spPr>
        <a:xfrm>
          <a:off x="8039100" y="6096000"/>
          <a:ext cx="2446865" cy="822959"/>
        </a:xfrm>
        <a:prstGeom prst="rect">
          <a:avLst/>
        </a:prstGeom>
      </xdr:spPr>
    </xdr:pic>
    <xdr:clientData/>
  </xdr:twoCellAnchor>
  <xdr:twoCellAnchor editAs="oneCell">
    <xdr:from>
      <xdr:col>17</xdr:col>
      <xdr:colOff>0</xdr:colOff>
      <xdr:row>49</xdr:row>
      <xdr:rowOff>175260</xdr:rowOff>
    </xdr:from>
    <xdr:to>
      <xdr:col>20</xdr:col>
      <xdr:colOff>599129</xdr:colOff>
      <xdr:row>54</xdr:row>
      <xdr:rowOff>45719</xdr:rowOff>
    </xdr:to>
    <xdr:pic>
      <xdr:nvPicPr>
        <xdr:cNvPr id="4" name="Рисунок 3">
          <a:extLst>
            <a:ext uri="{FF2B5EF4-FFF2-40B4-BE49-F238E27FC236}">
              <a16:creationId xmlns:a16="http://schemas.microsoft.com/office/drawing/2014/main" id="{7BFAE8C4-F6B4-126C-D283-234C4879F339}"/>
            </a:ext>
          </a:extLst>
        </xdr:cNvPr>
        <xdr:cNvPicPr>
          <a:picLocks noChangeAspect="1"/>
        </xdr:cNvPicPr>
      </xdr:nvPicPr>
      <xdr:blipFill>
        <a:blip xmlns:r="http://schemas.openxmlformats.org/officeDocument/2006/relationships" r:embed="rId3"/>
        <a:stretch>
          <a:fillRect/>
        </a:stretch>
      </xdr:blipFill>
      <xdr:spPr>
        <a:xfrm>
          <a:off x="8039100" y="10111740"/>
          <a:ext cx="2427929" cy="784859"/>
        </a:xfrm>
        <a:prstGeom prst="rect">
          <a:avLst/>
        </a:prstGeom>
      </xdr:spPr>
    </xdr:pic>
    <xdr:clientData/>
  </xdr:twoCellAnchor>
  <xdr:twoCellAnchor editAs="oneCell">
    <xdr:from>
      <xdr:col>17</xdr:col>
      <xdr:colOff>0</xdr:colOff>
      <xdr:row>72</xdr:row>
      <xdr:rowOff>0</xdr:rowOff>
    </xdr:from>
    <xdr:to>
      <xdr:col>21</xdr:col>
      <xdr:colOff>14081</xdr:colOff>
      <xdr:row>75</xdr:row>
      <xdr:rowOff>167640</xdr:rowOff>
    </xdr:to>
    <xdr:pic>
      <xdr:nvPicPr>
        <xdr:cNvPr id="5" name="Рисунок 4">
          <a:extLst>
            <a:ext uri="{FF2B5EF4-FFF2-40B4-BE49-F238E27FC236}">
              <a16:creationId xmlns:a16="http://schemas.microsoft.com/office/drawing/2014/main" id="{40319315-A2BD-F5ED-0FAF-F6BDE18F556A}"/>
            </a:ext>
          </a:extLst>
        </xdr:cNvPr>
        <xdr:cNvPicPr>
          <a:picLocks noChangeAspect="1"/>
        </xdr:cNvPicPr>
      </xdr:nvPicPr>
      <xdr:blipFill>
        <a:blip xmlns:r="http://schemas.openxmlformats.org/officeDocument/2006/relationships" r:embed="rId4"/>
        <a:stretch>
          <a:fillRect/>
        </a:stretch>
      </xdr:blipFill>
      <xdr:spPr>
        <a:xfrm>
          <a:off x="8039100" y="14142720"/>
          <a:ext cx="2452481" cy="7162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289560</xdr:colOff>
      <xdr:row>37</xdr:row>
      <xdr:rowOff>0</xdr:rowOff>
    </xdr:from>
    <xdr:ext cx="195182" cy="18787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ECD9475-6595-4073-B15F-BC3DE9804854}"/>
                </a:ext>
              </a:extLst>
            </xdr:cNvPr>
            <xdr:cNvSpPr txBox="1"/>
          </xdr:nvSpPr>
          <xdr:spPr>
            <a:xfrm>
              <a:off x="7162800" y="7711440"/>
              <a:ext cx="195182"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BY" sz="1200" i="1">
                            <a:latin typeface="Cambria Math" panose="02040503050406030204" pitchFamily="18" charset="0"/>
                          </a:rPr>
                        </m:ctrlPr>
                      </m:sSubPr>
                      <m:e>
                        <m:r>
                          <a:rPr lang="en-US" sz="1200" b="0" i="1">
                            <a:latin typeface="Cambria Math" panose="02040503050406030204" pitchFamily="18" charset="0"/>
                          </a:rPr>
                          <m:t>𝑋</m:t>
                        </m:r>
                      </m:e>
                      <m:sub>
                        <m:r>
                          <a:rPr lang="en-US" sz="1200" b="0" i="1">
                            <a:latin typeface="Cambria Math" panose="02040503050406030204" pitchFamily="18" charset="0"/>
                          </a:rPr>
                          <m:t>1</m:t>
                        </m:r>
                      </m:sub>
                    </m:sSub>
                  </m:oMath>
                </m:oMathPara>
              </a14:m>
              <a:endParaRPr lang="ru-BY" sz="1200"/>
            </a:p>
          </xdr:txBody>
        </xdr:sp>
      </mc:Choice>
      <mc:Fallback xmlns="">
        <xdr:sp macro="" textlink="">
          <xdr:nvSpPr>
            <xdr:cNvPr id="2" name="TextBox 1">
              <a:extLst>
                <a:ext uri="{FF2B5EF4-FFF2-40B4-BE49-F238E27FC236}">
                  <a16:creationId xmlns:a16="http://schemas.microsoft.com/office/drawing/2014/main" id="{CECD9475-6595-4073-B15F-BC3DE9804854}"/>
                </a:ext>
              </a:extLst>
            </xdr:cNvPr>
            <xdr:cNvSpPr txBox="1"/>
          </xdr:nvSpPr>
          <xdr:spPr>
            <a:xfrm>
              <a:off x="7162800" y="7711440"/>
              <a:ext cx="195182"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𝑋</a:t>
              </a:r>
              <a:r>
                <a:rPr lang="ru-BY" sz="1200" b="0" i="0">
                  <a:latin typeface="Cambria Math" panose="02040503050406030204" pitchFamily="18" charset="0"/>
                </a:rPr>
                <a:t>_</a:t>
              </a:r>
              <a:r>
                <a:rPr lang="en-US" sz="1200" b="0" i="0">
                  <a:latin typeface="Cambria Math" panose="02040503050406030204" pitchFamily="18" charset="0"/>
                </a:rPr>
                <a:t>1</a:t>
              </a:r>
              <a:endParaRPr lang="ru-BY" sz="1200"/>
            </a:p>
          </xdr:txBody>
        </xdr:sp>
      </mc:Fallback>
    </mc:AlternateContent>
    <xdr:clientData/>
  </xdr:oneCellAnchor>
  <xdr:oneCellAnchor>
    <xdr:from>
      <xdr:col>2</xdr:col>
      <xdr:colOff>160020</xdr:colOff>
      <xdr:row>37</xdr:row>
      <xdr:rowOff>7620</xdr:rowOff>
    </xdr:from>
    <xdr:ext cx="198772" cy="1878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1A38F-729B-406D-BADF-FDABF607525A}"/>
                </a:ext>
              </a:extLst>
            </xdr:cNvPr>
            <xdr:cNvSpPr txBox="1"/>
          </xdr:nvSpPr>
          <xdr:spPr>
            <a:xfrm>
              <a:off x="7620000" y="7719060"/>
              <a:ext cx="198772"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BY" sz="1200" i="1">
                            <a:latin typeface="Cambria Math" panose="02040503050406030204" pitchFamily="18" charset="0"/>
                          </a:rPr>
                        </m:ctrlPr>
                      </m:sSubPr>
                      <m:e>
                        <m:r>
                          <a:rPr lang="en-US" sz="1200" b="0" i="1">
                            <a:latin typeface="Cambria Math" panose="02040503050406030204" pitchFamily="18" charset="0"/>
                          </a:rPr>
                          <m:t>𝑋</m:t>
                        </m:r>
                      </m:e>
                      <m:sub>
                        <m:r>
                          <a:rPr lang="en-US" sz="1200" b="0" i="1">
                            <a:latin typeface="Cambria Math" panose="02040503050406030204" pitchFamily="18" charset="0"/>
                          </a:rPr>
                          <m:t>2</m:t>
                        </m:r>
                      </m:sub>
                    </m:sSub>
                  </m:oMath>
                </m:oMathPara>
              </a14:m>
              <a:endParaRPr lang="ru-BY" sz="1200"/>
            </a:p>
          </xdr:txBody>
        </xdr:sp>
      </mc:Choice>
      <mc:Fallback xmlns="">
        <xdr:sp macro="" textlink="">
          <xdr:nvSpPr>
            <xdr:cNvPr id="3" name="TextBox 2">
              <a:extLst>
                <a:ext uri="{FF2B5EF4-FFF2-40B4-BE49-F238E27FC236}">
                  <a16:creationId xmlns:a16="http://schemas.microsoft.com/office/drawing/2014/main" id="{A4C1A38F-729B-406D-BADF-FDABF607525A}"/>
                </a:ext>
              </a:extLst>
            </xdr:cNvPr>
            <xdr:cNvSpPr txBox="1"/>
          </xdr:nvSpPr>
          <xdr:spPr>
            <a:xfrm>
              <a:off x="7620000" y="7719060"/>
              <a:ext cx="198772"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𝑋</a:t>
              </a:r>
              <a:r>
                <a:rPr lang="ru-BY" sz="1200" b="0" i="0">
                  <a:latin typeface="Cambria Math" panose="02040503050406030204" pitchFamily="18" charset="0"/>
                </a:rPr>
                <a:t>_</a:t>
              </a:r>
              <a:r>
                <a:rPr lang="en-US" sz="1200" b="0" i="0">
                  <a:latin typeface="Cambria Math" panose="02040503050406030204" pitchFamily="18" charset="0"/>
                </a:rPr>
                <a:t>2</a:t>
              </a:r>
              <a:endParaRPr lang="ru-BY" sz="1200"/>
            </a:p>
          </xdr:txBody>
        </xdr:sp>
      </mc:Fallback>
    </mc:AlternateContent>
    <xdr:clientData/>
  </xdr:oneCellAnchor>
  <xdr:oneCellAnchor>
    <xdr:from>
      <xdr:col>3</xdr:col>
      <xdr:colOff>266700</xdr:colOff>
      <xdr:row>37</xdr:row>
      <xdr:rowOff>0</xdr:rowOff>
    </xdr:from>
    <xdr:ext cx="198772" cy="18787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780C9F1-629D-4442-B19E-107C2DEBB4F9}"/>
                </a:ext>
              </a:extLst>
            </xdr:cNvPr>
            <xdr:cNvSpPr txBox="1"/>
          </xdr:nvSpPr>
          <xdr:spPr>
            <a:xfrm>
              <a:off x="8191500" y="7711440"/>
              <a:ext cx="198772"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BY" sz="1200" i="1">
                            <a:latin typeface="Cambria Math" panose="02040503050406030204" pitchFamily="18" charset="0"/>
                          </a:rPr>
                        </m:ctrlPr>
                      </m:sSubPr>
                      <m:e>
                        <m:r>
                          <a:rPr lang="en-US" sz="1200" b="0" i="1">
                            <a:latin typeface="Cambria Math" panose="02040503050406030204" pitchFamily="18" charset="0"/>
                          </a:rPr>
                          <m:t>𝑋</m:t>
                        </m:r>
                      </m:e>
                      <m:sub>
                        <m:r>
                          <a:rPr lang="en-US" sz="1200" b="0" i="1">
                            <a:latin typeface="Cambria Math" panose="02040503050406030204" pitchFamily="18" charset="0"/>
                          </a:rPr>
                          <m:t>3</m:t>
                        </m:r>
                      </m:sub>
                    </m:sSub>
                  </m:oMath>
                </m:oMathPara>
              </a14:m>
              <a:endParaRPr lang="ru-BY" sz="1200"/>
            </a:p>
          </xdr:txBody>
        </xdr:sp>
      </mc:Choice>
      <mc:Fallback xmlns="">
        <xdr:sp macro="" textlink="">
          <xdr:nvSpPr>
            <xdr:cNvPr id="4" name="TextBox 3">
              <a:extLst>
                <a:ext uri="{FF2B5EF4-FFF2-40B4-BE49-F238E27FC236}">
                  <a16:creationId xmlns:a16="http://schemas.microsoft.com/office/drawing/2014/main" id="{8780C9F1-629D-4442-B19E-107C2DEBB4F9}"/>
                </a:ext>
              </a:extLst>
            </xdr:cNvPr>
            <xdr:cNvSpPr txBox="1"/>
          </xdr:nvSpPr>
          <xdr:spPr>
            <a:xfrm>
              <a:off x="8191500" y="7711440"/>
              <a:ext cx="198772"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𝑋</a:t>
              </a:r>
              <a:r>
                <a:rPr lang="ru-BY" sz="1200" b="0" i="0">
                  <a:latin typeface="Cambria Math" panose="02040503050406030204" pitchFamily="18" charset="0"/>
                </a:rPr>
                <a:t>_</a:t>
              </a:r>
              <a:r>
                <a:rPr lang="en-US" sz="1200" b="0" i="0">
                  <a:latin typeface="Cambria Math" panose="02040503050406030204" pitchFamily="18" charset="0"/>
                </a:rPr>
                <a:t>3</a:t>
              </a:r>
              <a:endParaRPr lang="ru-BY" sz="1200"/>
            </a:p>
          </xdr:txBody>
        </xdr:sp>
      </mc:Fallback>
    </mc:AlternateContent>
    <xdr:clientData/>
  </xdr:oneCellAnchor>
  <xdr:oneCellAnchor>
    <xdr:from>
      <xdr:col>4</xdr:col>
      <xdr:colOff>220980</xdr:colOff>
      <xdr:row>36</xdr:row>
      <xdr:rowOff>388620</xdr:rowOff>
    </xdr:from>
    <xdr:ext cx="198772" cy="1878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CB5633-9482-473E-AC43-8CCF0D13446E}"/>
                </a:ext>
              </a:extLst>
            </xdr:cNvPr>
            <xdr:cNvSpPr txBox="1"/>
          </xdr:nvSpPr>
          <xdr:spPr>
            <a:xfrm>
              <a:off x="8686800" y="7711440"/>
              <a:ext cx="198772"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BY" sz="1200" i="1">
                            <a:latin typeface="Cambria Math" panose="02040503050406030204" pitchFamily="18" charset="0"/>
                          </a:rPr>
                        </m:ctrlPr>
                      </m:sSubPr>
                      <m:e>
                        <m:r>
                          <a:rPr lang="en-US" sz="1200" b="0" i="1">
                            <a:latin typeface="Cambria Math" panose="02040503050406030204" pitchFamily="18" charset="0"/>
                          </a:rPr>
                          <m:t>𝑋</m:t>
                        </m:r>
                      </m:e>
                      <m:sub>
                        <m:r>
                          <a:rPr lang="en-US" sz="1200" b="0" i="1">
                            <a:latin typeface="Cambria Math" panose="02040503050406030204" pitchFamily="18" charset="0"/>
                          </a:rPr>
                          <m:t>4</m:t>
                        </m:r>
                      </m:sub>
                    </m:sSub>
                  </m:oMath>
                </m:oMathPara>
              </a14:m>
              <a:endParaRPr lang="ru-BY" sz="1200"/>
            </a:p>
          </xdr:txBody>
        </xdr:sp>
      </mc:Choice>
      <mc:Fallback xmlns="">
        <xdr:sp macro="" textlink="">
          <xdr:nvSpPr>
            <xdr:cNvPr id="5" name="TextBox 4">
              <a:extLst>
                <a:ext uri="{FF2B5EF4-FFF2-40B4-BE49-F238E27FC236}">
                  <a16:creationId xmlns:a16="http://schemas.microsoft.com/office/drawing/2014/main" id="{FACB5633-9482-473E-AC43-8CCF0D13446E}"/>
                </a:ext>
              </a:extLst>
            </xdr:cNvPr>
            <xdr:cNvSpPr txBox="1"/>
          </xdr:nvSpPr>
          <xdr:spPr>
            <a:xfrm>
              <a:off x="8686800" y="7711440"/>
              <a:ext cx="198772"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𝑋</a:t>
              </a:r>
              <a:r>
                <a:rPr lang="ru-BY" sz="1200" b="0" i="0">
                  <a:latin typeface="Cambria Math" panose="02040503050406030204" pitchFamily="18" charset="0"/>
                </a:rPr>
                <a:t>_</a:t>
              </a:r>
              <a:r>
                <a:rPr lang="en-US" sz="1200" b="0" i="0">
                  <a:latin typeface="Cambria Math" panose="02040503050406030204" pitchFamily="18" charset="0"/>
                </a:rPr>
                <a:t>4</a:t>
              </a:r>
              <a:endParaRPr lang="ru-BY" sz="12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4</xdr:col>
      <xdr:colOff>45041</xdr:colOff>
      <xdr:row>73</xdr:row>
      <xdr:rowOff>37799</xdr:rowOff>
    </xdr:from>
    <xdr:ext cx="356508" cy="18787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6259C8-461A-454C-B2E9-B1DC63F835AD}"/>
                </a:ext>
              </a:extLst>
            </xdr:cNvPr>
            <xdr:cNvSpPr txBox="1"/>
          </xdr:nvSpPr>
          <xdr:spPr>
            <a:xfrm>
              <a:off x="3062561" y="14172899"/>
              <a:ext cx="356508"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BY" sz="1200" i="1">
                            <a:latin typeface="Cambria Math" panose="02040503050406030204" pitchFamily="18" charset="0"/>
                          </a:rPr>
                        </m:ctrlPr>
                      </m:sSubPr>
                      <m:e>
                        <m:r>
                          <a:rPr lang="en-US" sz="1200" b="0" i="1">
                            <a:latin typeface="Cambria Math" panose="02040503050406030204" pitchFamily="18" charset="0"/>
                          </a:rPr>
                          <m:t>𝑋</m:t>
                        </m:r>
                      </m:e>
                      <m:sub>
                        <m:r>
                          <a:rPr lang="en-US" sz="1200" b="0" i="1">
                            <a:latin typeface="Cambria Math" panose="02040503050406030204" pitchFamily="18" charset="0"/>
                          </a:rPr>
                          <m:t>2</m:t>
                        </m:r>
                      </m:sub>
                    </m:sSub>
                    <m:r>
                      <a:rPr lang="en-US" sz="1200" b="0" i="1">
                        <a:latin typeface="Cambria Math" panose="02040503050406030204" pitchFamily="18" charset="0"/>
                      </a:rPr>
                      <m:t>=</m:t>
                    </m:r>
                  </m:oMath>
                </m:oMathPara>
              </a14:m>
              <a:endParaRPr lang="ru-BY" sz="1200"/>
            </a:p>
          </xdr:txBody>
        </xdr:sp>
      </mc:Choice>
      <mc:Fallback xmlns="">
        <xdr:sp macro="" textlink="">
          <xdr:nvSpPr>
            <xdr:cNvPr id="2" name="TextBox 1">
              <a:extLst>
                <a:ext uri="{FF2B5EF4-FFF2-40B4-BE49-F238E27FC236}">
                  <a16:creationId xmlns:a16="http://schemas.microsoft.com/office/drawing/2014/main" id="{BC6259C8-461A-454C-B2E9-B1DC63F835AD}"/>
                </a:ext>
              </a:extLst>
            </xdr:cNvPr>
            <xdr:cNvSpPr txBox="1"/>
          </xdr:nvSpPr>
          <xdr:spPr>
            <a:xfrm>
              <a:off x="3062561" y="14172899"/>
              <a:ext cx="356508"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𝑋</a:t>
              </a:r>
              <a:r>
                <a:rPr lang="ru-BY" sz="1200" b="0" i="0">
                  <a:latin typeface="Cambria Math" panose="02040503050406030204" pitchFamily="18" charset="0"/>
                </a:rPr>
                <a:t>_</a:t>
              </a:r>
              <a:r>
                <a:rPr lang="en-US" sz="1200" b="0" i="0">
                  <a:latin typeface="Cambria Math" panose="02040503050406030204" pitchFamily="18" charset="0"/>
                </a:rPr>
                <a:t>2=</a:t>
              </a:r>
              <a:endParaRPr lang="ru-BY" sz="1200"/>
            </a:p>
          </xdr:txBody>
        </xdr:sp>
      </mc:Fallback>
    </mc:AlternateContent>
    <xdr:clientData/>
  </xdr:oneCellAnchor>
  <xdr:oneCellAnchor>
    <xdr:from>
      <xdr:col>3</xdr:col>
      <xdr:colOff>90836</xdr:colOff>
      <xdr:row>73</xdr:row>
      <xdr:rowOff>37874</xdr:rowOff>
    </xdr:from>
    <xdr:ext cx="352917" cy="1878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4D95697-56F0-4735-A665-084466B5F4C5}"/>
                </a:ext>
              </a:extLst>
            </xdr:cNvPr>
            <xdr:cNvSpPr txBox="1"/>
          </xdr:nvSpPr>
          <xdr:spPr>
            <a:xfrm>
              <a:off x="2414936" y="14172974"/>
              <a:ext cx="352917"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BY" sz="1200" i="1">
                            <a:latin typeface="Cambria Math" panose="02040503050406030204" pitchFamily="18" charset="0"/>
                          </a:rPr>
                        </m:ctrlPr>
                      </m:sSubPr>
                      <m:e>
                        <m:r>
                          <a:rPr lang="en-US" sz="1200" b="0" i="1">
                            <a:latin typeface="Cambria Math" panose="02040503050406030204" pitchFamily="18" charset="0"/>
                          </a:rPr>
                          <m:t>𝑋</m:t>
                        </m:r>
                      </m:e>
                      <m:sub>
                        <m:r>
                          <a:rPr lang="en-US" sz="1200" b="0" i="1">
                            <a:latin typeface="Cambria Math" panose="02040503050406030204" pitchFamily="18" charset="0"/>
                          </a:rPr>
                          <m:t>1</m:t>
                        </m:r>
                      </m:sub>
                    </m:sSub>
                    <m:r>
                      <a:rPr lang="en-US" sz="1200" b="0" i="1">
                        <a:latin typeface="Cambria Math" panose="02040503050406030204" pitchFamily="18" charset="0"/>
                      </a:rPr>
                      <m:t>=</m:t>
                    </m:r>
                  </m:oMath>
                </m:oMathPara>
              </a14:m>
              <a:endParaRPr lang="ru-BY" sz="1200"/>
            </a:p>
          </xdr:txBody>
        </xdr:sp>
      </mc:Choice>
      <mc:Fallback xmlns="">
        <xdr:sp macro="" textlink="">
          <xdr:nvSpPr>
            <xdr:cNvPr id="3" name="TextBox 2">
              <a:extLst>
                <a:ext uri="{FF2B5EF4-FFF2-40B4-BE49-F238E27FC236}">
                  <a16:creationId xmlns:a16="http://schemas.microsoft.com/office/drawing/2014/main" id="{84D95697-56F0-4735-A665-084466B5F4C5}"/>
                </a:ext>
              </a:extLst>
            </xdr:cNvPr>
            <xdr:cNvSpPr txBox="1"/>
          </xdr:nvSpPr>
          <xdr:spPr>
            <a:xfrm>
              <a:off x="2414936" y="14172974"/>
              <a:ext cx="352917"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𝑋</a:t>
              </a:r>
              <a:r>
                <a:rPr lang="ru-BY" sz="1200" b="0" i="0">
                  <a:latin typeface="Cambria Math" panose="02040503050406030204" pitchFamily="18" charset="0"/>
                </a:rPr>
                <a:t>_</a:t>
              </a:r>
              <a:r>
                <a:rPr lang="en-US" sz="1200" b="0" i="0">
                  <a:latin typeface="Cambria Math" panose="02040503050406030204" pitchFamily="18" charset="0"/>
                </a:rPr>
                <a:t>1=</a:t>
              </a:r>
              <a:endParaRPr lang="ru-BY" sz="1200"/>
            </a:p>
          </xdr:txBody>
        </xdr:sp>
      </mc:Fallback>
    </mc:AlternateContent>
    <xdr:clientData/>
  </xdr:oneCellAnchor>
  <xdr:oneCellAnchor>
    <xdr:from>
      <xdr:col>5</xdr:col>
      <xdr:colOff>44362</xdr:colOff>
      <xdr:row>73</xdr:row>
      <xdr:rowOff>36968</xdr:rowOff>
    </xdr:from>
    <xdr:ext cx="202748" cy="180370"/>
    <xdr:sp macro="" textlink="">
      <xdr:nvSpPr>
        <xdr:cNvPr id="4" name="TextBox 3">
          <a:extLst>
            <a:ext uri="{FF2B5EF4-FFF2-40B4-BE49-F238E27FC236}">
              <a16:creationId xmlns:a16="http://schemas.microsoft.com/office/drawing/2014/main" id="{94C60380-29C7-46BD-A077-647C1CBBD25C}"/>
            </a:ext>
          </a:extLst>
        </xdr:cNvPr>
        <xdr:cNvSpPr txBox="1"/>
      </xdr:nvSpPr>
      <xdr:spPr>
        <a:xfrm>
          <a:off x="3671482" y="14172068"/>
          <a:ext cx="202748" cy="18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a:latin typeface="Cambria Math" panose="02040503050406030204" pitchFamily="18" charset="0"/>
              <a:ea typeface="Cambria Math" panose="02040503050406030204" pitchFamily="18" charset="0"/>
            </a:rPr>
            <a:t>Y=</a:t>
          </a:r>
          <a:endParaRPr lang="ru-BY" sz="1200">
            <a:latin typeface="Cambria Math" panose="02040503050406030204" pitchFamily="18" charset="0"/>
            <a:ea typeface="Cambria Math" panose="02040503050406030204" pitchFamily="18" charset="0"/>
          </a:endParaRPr>
        </a:p>
      </xdr:txBody>
    </xdr:sp>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EEFC-DC85-4DD9-AF25-3CA4E3CF18C4}">
  <dimension ref="A1:W57"/>
  <sheetViews>
    <sheetView workbookViewId="0">
      <selection sqref="A1:F4"/>
    </sheetView>
  </sheetViews>
  <sheetFormatPr defaultRowHeight="14.4" x14ac:dyDescent="0.3"/>
  <sheetData>
    <row r="1" spans="1:13" x14ac:dyDescent="0.3">
      <c r="A1" s="83" t="s">
        <v>272</v>
      </c>
      <c r="B1" s="83"/>
      <c r="C1" s="83"/>
      <c r="D1" s="83"/>
      <c r="E1" s="83"/>
      <c r="F1" s="83"/>
      <c r="G1" s="84" t="s">
        <v>174</v>
      </c>
      <c r="H1" s="84"/>
      <c r="I1" s="84"/>
      <c r="J1" s="84"/>
      <c r="K1" s="84"/>
      <c r="L1" s="84"/>
      <c r="M1" s="12"/>
    </row>
    <row r="2" spans="1:13" x14ac:dyDescent="0.3">
      <c r="A2" s="83"/>
      <c r="B2" s="83"/>
      <c r="C2" s="83"/>
      <c r="D2" s="83"/>
      <c r="E2" s="83"/>
      <c r="F2" s="83"/>
      <c r="G2" s="84"/>
      <c r="H2" s="84"/>
      <c r="I2" s="84"/>
      <c r="J2" s="84"/>
      <c r="K2" s="84"/>
      <c r="L2" s="84"/>
      <c r="M2" s="12"/>
    </row>
    <row r="3" spans="1:13" x14ac:dyDescent="0.3">
      <c r="A3" s="83"/>
      <c r="B3" s="83"/>
      <c r="C3" s="83"/>
      <c r="D3" s="83"/>
      <c r="E3" s="83"/>
      <c r="F3" s="83"/>
      <c r="G3" s="84"/>
      <c r="H3" s="84"/>
      <c r="I3" s="84"/>
      <c r="J3" s="84"/>
      <c r="K3" s="84"/>
      <c r="L3" s="84"/>
      <c r="M3" s="12"/>
    </row>
    <row r="4" spans="1:13" x14ac:dyDescent="0.3">
      <c r="A4" s="83"/>
      <c r="B4" s="83"/>
      <c r="C4" s="83"/>
      <c r="D4" s="83"/>
      <c r="E4" s="83"/>
      <c r="F4" s="83"/>
      <c r="G4" s="84"/>
      <c r="H4" s="84"/>
      <c r="I4" s="84"/>
      <c r="J4" s="84"/>
      <c r="K4" s="84"/>
      <c r="L4" s="84"/>
      <c r="M4" s="12"/>
    </row>
    <row r="5" spans="1:13" x14ac:dyDescent="0.3">
      <c r="G5" s="84"/>
      <c r="H5" s="84"/>
      <c r="I5" s="84"/>
      <c r="J5" s="84"/>
      <c r="K5" s="84"/>
      <c r="L5" s="84"/>
      <c r="M5" s="12"/>
    </row>
    <row r="6" spans="1:13" x14ac:dyDescent="0.3">
      <c r="A6" s="85" t="s">
        <v>175</v>
      </c>
      <c r="B6" s="85"/>
      <c r="C6" s="85"/>
      <c r="D6" s="85"/>
      <c r="E6" s="85"/>
      <c r="G6" s="84"/>
      <c r="H6" s="84"/>
      <c r="I6" s="84"/>
      <c r="J6" s="84"/>
      <c r="K6" s="84"/>
      <c r="L6" s="84"/>
      <c r="M6" s="12"/>
    </row>
    <row r="7" spans="1:13" x14ac:dyDescent="0.3">
      <c r="A7" s="1"/>
      <c r="B7" s="1" t="s">
        <v>176</v>
      </c>
      <c r="C7" s="1" t="s">
        <v>177</v>
      </c>
      <c r="D7" s="1" t="s">
        <v>178</v>
      </c>
      <c r="E7" s="1" t="s">
        <v>179</v>
      </c>
      <c r="G7" s="84"/>
      <c r="H7" s="84"/>
      <c r="I7" s="84"/>
      <c r="J7" s="84"/>
      <c r="K7" s="84"/>
      <c r="L7" s="84"/>
      <c r="M7" s="12"/>
    </row>
    <row r="8" spans="1:13" x14ac:dyDescent="0.3">
      <c r="A8" s="1" t="s">
        <v>176</v>
      </c>
      <c r="B8" s="5">
        <v>1</v>
      </c>
      <c r="C8" s="64">
        <v>0.33333333333333331</v>
      </c>
      <c r="D8" s="5">
        <v>7</v>
      </c>
      <c r="E8" s="5">
        <v>4</v>
      </c>
      <c r="G8" s="84"/>
      <c r="H8" s="84"/>
      <c r="I8" s="84"/>
      <c r="J8" s="84"/>
      <c r="K8" s="84"/>
      <c r="L8" s="84"/>
      <c r="M8" s="12"/>
    </row>
    <row r="9" spans="1:13" x14ac:dyDescent="0.3">
      <c r="A9" s="1" t="s">
        <v>177</v>
      </c>
      <c r="B9" s="5">
        <v>3</v>
      </c>
      <c r="C9" s="5">
        <v>1</v>
      </c>
      <c r="D9" s="5">
        <v>9</v>
      </c>
      <c r="E9" s="5">
        <v>6</v>
      </c>
      <c r="G9" s="84"/>
      <c r="H9" s="84"/>
      <c r="I9" s="84"/>
      <c r="J9" s="84"/>
      <c r="K9" s="84"/>
      <c r="L9" s="84"/>
      <c r="M9" s="12"/>
    </row>
    <row r="10" spans="1:13" x14ac:dyDescent="0.3">
      <c r="A10" s="1" t="s">
        <v>178</v>
      </c>
      <c r="B10" s="64">
        <v>0.14285714285714285</v>
      </c>
      <c r="C10" s="65">
        <v>0.1111111111111111</v>
      </c>
      <c r="D10" s="5">
        <v>1</v>
      </c>
      <c r="E10" s="65">
        <v>0.33333333333333331</v>
      </c>
      <c r="G10" s="84"/>
      <c r="H10" s="84"/>
      <c r="I10" s="84"/>
      <c r="J10" s="84"/>
      <c r="K10" s="84"/>
      <c r="L10" s="84"/>
      <c r="M10" s="12"/>
    </row>
    <row r="11" spans="1:13" x14ac:dyDescent="0.3">
      <c r="A11" s="1" t="s">
        <v>179</v>
      </c>
      <c r="B11" s="65">
        <v>0.25</v>
      </c>
      <c r="C11" s="64">
        <v>0.16666666666666666</v>
      </c>
      <c r="D11" s="5">
        <v>3</v>
      </c>
      <c r="E11" s="5">
        <v>1</v>
      </c>
      <c r="G11" s="84"/>
      <c r="H11" s="84"/>
      <c r="I11" s="84"/>
      <c r="J11" s="84"/>
      <c r="K11" s="84"/>
      <c r="L11" s="84"/>
      <c r="M11" s="12"/>
    </row>
    <row r="12" spans="1:13" x14ac:dyDescent="0.3">
      <c r="G12" s="84"/>
      <c r="H12" s="84"/>
      <c r="I12" s="84"/>
      <c r="J12" s="84"/>
      <c r="K12" s="84"/>
      <c r="L12" s="84"/>
      <c r="M12" s="12"/>
    </row>
    <row r="13" spans="1:13" x14ac:dyDescent="0.3">
      <c r="A13" s="1" t="s">
        <v>22</v>
      </c>
      <c r="B13" s="2">
        <f>POWER(PRODUCT(B8:E8),1/4)</f>
        <v>1.7478702650093609</v>
      </c>
      <c r="D13" s="1" t="s">
        <v>180</v>
      </c>
      <c r="E13" s="2">
        <f>B13/B17</f>
        <v>0.28283617577454839</v>
      </c>
      <c r="G13" s="84"/>
      <c r="H13" s="84"/>
      <c r="I13" s="84"/>
      <c r="J13" s="84"/>
      <c r="K13" s="84"/>
      <c r="L13" s="84"/>
      <c r="M13" s="12"/>
    </row>
    <row r="14" spans="1:13" x14ac:dyDescent="0.3">
      <c r="A14" s="1" t="s">
        <v>23</v>
      </c>
      <c r="B14" s="2">
        <f>POWER(PRODUCT(B9:E9),1/4)</f>
        <v>3.5676213450081629</v>
      </c>
      <c r="D14" s="1" t="s">
        <v>181</v>
      </c>
      <c r="E14" s="2">
        <f>B14/B17</f>
        <v>0.57730393269683289</v>
      </c>
      <c r="G14" s="84"/>
      <c r="H14" s="84"/>
      <c r="I14" s="84"/>
      <c r="J14" s="84"/>
      <c r="K14" s="84"/>
      <c r="L14" s="84"/>
      <c r="M14" s="12"/>
    </row>
    <row r="15" spans="1:13" x14ac:dyDescent="0.3">
      <c r="A15" s="1" t="s">
        <v>24</v>
      </c>
      <c r="B15" s="2">
        <f>POWER(PRODUCT(B10:E10),1/4)</f>
        <v>0.26970223719007375</v>
      </c>
      <c r="D15" s="1" t="s">
        <v>182</v>
      </c>
      <c r="E15" s="2">
        <f>B15/B17</f>
        <v>4.3642569412479883E-2</v>
      </c>
      <c r="G15" s="84"/>
      <c r="H15" s="84"/>
      <c r="I15" s="84"/>
      <c r="J15" s="84"/>
      <c r="K15" s="84"/>
      <c r="L15" s="84"/>
      <c r="M15" s="12"/>
    </row>
    <row r="16" spans="1:13" x14ac:dyDescent="0.3">
      <c r="A16" s="1" t="s">
        <v>28</v>
      </c>
      <c r="B16" s="2">
        <f>POWER(PRODUCT(B11:E11),1/4)</f>
        <v>0.59460355750136051</v>
      </c>
      <c r="D16" s="1" t="s">
        <v>183</v>
      </c>
      <c r="E16" s="2">
        <f>B16/B17</f>
        <v>9.6217322116138815E-2</v>
      </c>
      <c r="G16" s="84"/>
      <c r="H16" s="84"/>
      <c r="I16" s="84"/>
      <c r="J16" s="84"/>
      <c r="K16" s="84"/>
      <c r="L16" s="84"/>
      <c r="M16" s="12"/>
    </row>
    <row r="17" spans="1:23" x14ac:dyDescent="0.3">
      <c r="A17" s="1" t="s">
        <v>25</v>
      </c>
      <c r="B17" s="2">
        <f>SUM(B13:B16)</f>
        <v>6.1797974047089586</v>
      </c>
      <c r="G17" s="84"/>
      <c r="H17" s="84"/>
      <c r="I17" s="84"/>
      <c r="J17" s="84"/>
      <c r="K17" s="84"/>
      <c r="L17" s="84"/>
      <c r="M17" s="12"/>
    </row>
    <row r="18" spans="1:23" x14ac:dyDescent="0.3">
      <c r="G18" s="12"/>
      <c r="H18" s="12"/>
      <c r="I18" s="12"/>
      <c r="J18" s="12"/>
      <c r="K18" s="12"/>
      <c r="L18" s="12"/>
      <c r="M18" s="12"/>
    </row>
    <row r="19" spans="1:23" x14ac:dyDescent="0.3">
      <c r="A19" s="1" t="s">
        <v>112</v>
      </c>
      <c r="B19" s="2">
        <f>SUM(B8:B11)</f>
        <v>4.3928571428571432</v>
      </c>
      <c r="D19" s="1" t="s">
        <v>184</v>
      </c>
      <c r="E19" s="2">
        <f>B19*E13</f>
        <v>1.2424589150096235</v>
      </c>
      <c r="G19" s="12"/>
      <c r="H19" s="12"/>
      <c r="I19" s="12"/>
      <c r="J19" s="12"/>
      <c r="K19" s="12"/>
      <c r="L19" s="12"/>
      <c r="M19" s="12"/>
    </row>
    <row r="20" spans="1:23" x14ac:dyDescent="0.3">
      <c r="A20" s="1" t="s">
        <v>113</v>
      </c>
      <c r="B20" s="26">
        <f>SUM(C8:C11)</f>
        <v>1.6111111111111112</v>
      </c>
      <c r="D20" s="1" t="s">
        <v>185</v>
      </c>
      <c r="E20" s="2">
        <f>B20*E14</f>
        <v>0.93010078045600852</v>
      </c>
      <c r="G20" s="12"/>
      <c r="H20" s="12"/>
      <c r="I20" s="12"/>
      <c r="J20" s="12"/>
      <c r="K20" s="12"/>
      <c r="L20" s="12"/>
      <c r="M20" s="12"/>
    </row>
    <row r="21" spans="1:23" x14ac:dyDescent="0.3">
      <c r="A21" s="1" t="s">
        <v>114</v>
      </c>
      <c r="B21" s="2">
        <f>SUM(D8:D11)</f>
        <v>20</v>
      </c>
      <c r="D21" s="1" t="s">
        <v>186</v>
      </c>
      <c r="E21" s="2">
        <f>B21*E15</f>
        <v>0.87285138824959763</v>
      </c>
    </row>
    <row r="22" spans="1:23" x14ac:dyDescent="0.3">
      <c r="A22" s="1" t="s">
        <v>187</v>
      </c>
      <c r="B22" s="26">
        <f>SUM(E8:E11)</f>
        <v>11.333333333333334</v>
      </c>
      <c r="D22" s="1" t="s">
        <v>188</v>
      </c>
      <c r="E22" s="2">
        <f>B22*E16</f>
        <v>1.0904629839829065</v>
      </c>
    </row>
    <row r="23" spans="1:23" x14ac:dyDescent="0.3">
      <c r="D23" s="1" t="s">
        <v>189</v>
      </c>
      <c r="E23" s="2">
        <f>SUM(E19:E22)</f>
        <v>4.1358740676981363</v>
      </c>
    </row>
    <row r="25" spans="1:23" x14ac:dyDescent="0.3">
      <c r="A25" s="1" t="s">
        <v>190</v>
      </c>
      <c r="B25" s="2">
        <f>(E23-D26)/(D26-1)</f>
        <v>4.529135589937875E-2</v>
      </c>
      <c r="D25" s="1" t="s">
        <v>105</v>
      </c>
      <c r="E25" s="1" t="s">
        <v>191</v>
      </c>
    </row>
    <row r="26" spans="1:23" x14ac:dyDescent="0.3">
      <c r="A26" s="1" t="s">
        <v>192</v>
      </c>
      <c r="B26" s="2">
        <f>B25/E26</f>
        <v>5.0323728777087497E-2</v>
      </c>
      <c r="D26" s="2">
        <v>4</v>
      </c>
      <c r="E26" s="2">
        <v>0.9</v>
      </c>
    </row>
    <row r="27" spans="1:23" x14ac:dyDescent="0.3">
      <c r="A27" s="1" t="s">
        <v>193</v>
      </c>
      <c r="B27" s="2" t="b">
        <f>B26&lt;0.2</f>
        <v>1</v>
      </c>
    </row>
    <row r="30" spans="1:23" x14ac:dyDescent="0.3">
      <c r="A30" s="37"/>
      <c r="B30" s="37"/>
      <c r="C30" s="37"/>
      <c r="D30" s="37"/>
      <c r="E30" s="37"/>
      <c r="F30" s="37"/>
      <c r="G30" s="37"/>
      <c r="H30" s="37"/>
      <c r="I30" s="37"/>
      <c r="J30" s="37"/>
      <c r="K30" s="37"/>
      <c r="L30" s="37"/>
      <c r="M30" s="37"/>
      <c r="N30" s="37"/>
      <c r="O30" s="37"/>
      <c r="P30" s="37"/>
      <c r="Q30" s="37"/>
      <c r="R30" s="37"/>
      <c r="S30" s="37"/>
      <c r="T30" s="37"/>
      <c r="U30" s="37"/>
      <c r="V30" s="37"/>
      <c r="W30" s="37"/>
    </row>
    <row r="32" spans="1:23" x14ac:dyDescent="0.3">
      <c r="A32" s="86" t="s">
        <v>194</v>
      </c>
      <c r="B32" s="86"/>
      <c r="C32" s="86"/>
      <c r="D32" s="86"/>
      <c r="E32" s="86"/>
    </row>
    <row r="33" spans="1:23" x14ac:dyDescent="0.3">
      <c r="A33" s="1"/>
      <c r="B33" s="1" t="s">
        <v>176</v>
      </c>
      <c r="C33" s="1" t="s">
        <v>177</v>
      </c>
      <c r="D33" s="1" t="s">
        <v>178</v>
      </c>
      <c r="E33" s="1" t="s">
        <v>179</v>
      </c>
      <c r="G33" s="1" t="s">
        <v>105</v>
      </c>
      <c r="H33" s="1" t="s">
        <v>195</v>
      </c>
      <c r="J33" s="1" t="s">
        <v>196</v>
      </c>
      <c r="K33" s="2">
        <f>H34*(G34+1)/2</f>
        <v>7.5</v>
      </c>
      <c r="M33" s="1" t="s">
        <v>121</v>
      </c>
      <c r="N33" s="2">
        <f>SUM(POWER((N38-K33),2),POWER((N39-K33),2),POWER((N40-K33),2),POWER((N41-K33),2))</f>
        <v>37</v>
      </c>
      <c r="P33" s="1" t="s">
        <v>197</v>
      </c>
      <c r="Q33" s="2">
        <f>(K33*N33)/(POWER(H34,2)*G34*(POWER(G34,2)-1))</f>
        <v>0.51388888888888884</v>
      </c>
    </row>
    <row r="34" spans="1:23" x14ac:dyDescent="0.3">
      <c r="A34" s="1" t="s">
        <v>198</v>
      </c>
      <c r="B34" s="2">
        <v>2</v>
      </c>
      <c r="C34" s="2">
        <v>1</v>
      </c>
      <c r="D34" s="2">
        <v>4</v>
      </c>
      <c r="E34" s="2">
        <v>3</v>
      </c>
      <c r="G34" s="2">
        <v>4</v>
      </c>
      <c r="H34" s="2">
        <v>3</v>
      </c>
      <c r="P34" s="1" t="s">
        <v>193</v>
      </c>
      <c r="Q34" s="2" t="b">
        <f>Q33&gt;=0.5</f>
        <v>1</v>
      </c>
    </row>
    <row r="35" spans="1:23" x14ac:dyDescent="0.3">
      <c r="A35" s="1" t="s">
        <v>199</v>
      </c>
      <c r="B35" s="2">
        <v>1</v>
      </c>
      <c r="C35" s="2">
        <v>2</v>
      </c>
      <c r="D35" s="2">
        <v>4</v>
      </c>
      <c r="E35" s="2">
        <v>3</v>
      </c>
    </row>
    <row r="36" spans="1:23" x14ac:dyDescent="0.3">
      <c r="A36" s="1" t="s">
        <v>200</v>
      </c>
      <c r="B36" s="2">
        <v>1</v>
      </c>
      <c r="C36" s="2">
        <v>2</v>
      </c>
      <c r="D36" s="2">
        <v>3</v>
      </c>
      <c r="E36" s="2">
        <v>4</v>
      </c>
    </row>
    <row r="38" spans="1:23" x14ac:dyDescent="0.3">
      <c r="A38" s="1"/>
      <c r="B38" s="1" t="s">
        <v>176</v>
      </c>
      <c r="C38" s="1" t="s">
        <v>177</v>
      </c>
      <c r="D38" s="1" t="s">
        <v>178</v>
      </c>
      <c r="E38" s="1" t="s">
        <v>179</v>
      </c>
      <c r="G38" s="1" t="s">
        <v>201</v>
      </c>
      <c r="H38" s="2">
        <f>SUM(B39:B41)</f>
        <v>8</v>
      </c>
      <c r="J38" s="1" t="s">
        <v>180</v>
      </c>
      <c r="K38" s="2">
        <f>H38/H42</f>
        <v>0.44444444444444442</v>
      </c>
      <c r="M38" s="1" t="s">
        <v>202</v>
      </c>
      <c r="N38" s="2">
        <f>SUM(B34:B36)</f>
        <v>4</v>
      </c>
    </row>
    <row r="39" spans="1:23" x14ac:dyDescent="0.3">
      <c r="A39" s="1" t="s">
        <v>198</v>
      </c>
      <c r="B39" s="2">
        <f>G34-B34</f>
        <v>2</v>
      </c>
      <c r="C39" s="2">
        <f>G34-C34</f>
        <v>3</v>
      </c>
      <c r="D39" s="2">
        <f>G34-D34</f>
        <v>0</v>
      </c>
      <c r="E39" s="2">
        <f>G34-E34</f>
        <v>1</v>
      </c>
      <c r="G39" s="1" t="s">
        <v>203</v>
      </c>
      <c r="H39" s="2">
        <f>SUM(C39:C41)</f>
        <v>7</v>
      </c>
      <c r="J39" s="1" t="s">
        <v>181</v>
      </c>
      <c r="K39" s="2">
        <f>H39/H42</f>
        <v>0.3888888888888889</v>
      </c>
      <c r="M39" s="1" t="s">
        <v>204</v>
      </c>
      <c r="N39" s="2">
        <f>SUM(C34:C36)</f>
        <v>5</v>
      </c>
    </row>
    <row r="40" spans="1:23" x14ac:dyDescent="0.3">
      <c r="A40" s="1" t="s">
        <v>199</v>
      </c>
      <c r="B40" s="2">
        <f>G34-B35</f>
        <v>3</v>
      </c>
      <c r="C40" s="2">
        <f>G34-C35</f>
        <v>2</v>
      </c>
      <c r="D40" s="2">
        <f>G34-D35</f>
        <v>0</v>
      </c>
      <c r="E40" s="2">
        <f>G34-E35</f>
        <v>1</v>
      </c>
      <c r="G40" s="1" t="s">
        <v>205</v>
      </c>
      <c r="H40" s="2">
        <f>SUM(D39:D41)</f>
        <v>1</v>
      </c>
      <c r="J40" s="1" t="s">
        <v>182</v>
      </c>
      <c r="K40" s="2">
        <f>H40/H42</f>
        <v>5.5555555555555552E-2</v>
      </c>
      <c r="M40" s="1" t="s">
        <v>206</v>
      </c>
      <c r="N40" s="2">
        <f>SUM(D34:D36)</f>
        <v>11</v>
      </c>
    </row>
    <row r="41" spans="1:23" x14ac:dyDescent="0.3">
      <c r="A41" s="1" t="s">
        <v>200</v>
      </c>
      <c r="B41" s="2">
        <f>G34-B36</f>
        <v>3</v>
      </c>
      <c r="C41" s="2">
        <f>G34-C36</f>
        <v>2</v>
      </c>
      <c r="D41" s="2">
        <f>G34-D36</f>
        <v>1</v>
      </c>
      <c r="E41" s="2">
        <f>G34-E36</f>
        <v>0</v>
      </c>
      <c r="G41" s="1" t="s">
        <v>207</v>
      </c>
      <c r="H41" s="2">
        <f>SUM(E39:E41)</f>
        <v>2</v>
      </c>
      <c r="J41" s="1" t="s">
        <v>183</v>
      </c>
      <c r="K41" s="2">
        <f>H41/H42</f>
        <v>0.1111111111111111</v>
      </c>
      <c r="M41" s="1" t="s">
        <v>208</v>
      </c>
      <c r="N41" s="2">
        <f>SUM(E34:E36)</f>
        <v>10</v>
      </c>
    </row>
    <row r="42" spans="1:23" x14ac:dyDescent="0.3">
      <c r="G42" s="1" t="s">
        <v>209</v>
      </c>
      <c r="H42" s="2">
        <f>SUM(H38:H41)</f>
        <v>18</v>
      </c>
    </row>
    <row r="44" spans="1:23" x14ac:dyDescent="0.3">
      <c r="A44" s="16"/>
      <c r="B44" s="16"/>
      <c r="C44" s="16"/>
      <c r="D44" s="16"/>
      <c r="E44" s="16"/>
      <c r="F44" s="16"/>
      <c r="G44" s="16"/>
      <c r="H44" s="16"/>
      <c r="I44" s="16"/>
      <c r="J44" s="16"/>
      <c r="K44" s="16"/>
      <c r="L44" s="16"/>
      <c r="M44" s="16"/>
      <c r="N44" s="16"/>
      <c r="O44" s="16"/>
      <c r="P44" s="16"/>
      <c r="Q44" s="16"/>
      <c r="R44" s="16"/>
      <c r="S44" s="16"/>
      <c r="T44" s="16"/>
      <c r="U44" s="16"/>
      <c r="V44" s="16"/>
      <c r="W44" s="16"/>
    </row>
    <row r="46" spans="1:23" x14ac:dyDescent="0.3">
      <c r="A46" s="86" t="s">
        <v>210</v>
      </c>
      <c r="B46" s="86"/>
      <c r="C46" s="86"/>
      <c r="D46" s="86"/>
      <c r="E46" s="86"/>
    </row>
    <row r="47" spans="1:23" x14ac:dyDescent="0.3">
      <c r="A47" s="1"/>
      <c r="B47" s="1" t="s">
        <v>176</v>
      </c>
      <c r="C47" s="1" t="s">
        <v>177</v>
      </c>
      <c r="D47" s="1" t="s">
        <v>178</v>
      </c>
      <c r="E47" s="1" t="s">
        <v>179</v>
      </c>
      <c r="G47" s="1" t="s">
        <v>105</v>
      </c>
      <c r="H47" s="1" t="s">
        <v>195</v>
      </c>
      <c r="K47" s="1" t="s">
        <v>123</v>
      </c>
      <c r="L47" s="1" t="s">
        <v>122</v>
      </c>
      <c r="M47" s="1" t="s">
        <v>211</v>
      </c>
      <c r="N47" s="1" t="s">
        <v>212</v>
      </c>
      <c r="O47" s="1" t="s">
        <v>213</v>
      </c>
    </row>
    <row r="48" spans="1:23" x14ac:dyDescent="0.3">
      <c r="A48" s="1" t="s">
        <v>198</v>
      </c>
      <c r="B48" s="2">
        <v>8</v>
      </c>
      <c r="C48" s="2">
        <v>10</v>
      </c>
      <c r="D48" s="2">
        <v>2</v>
      </c>
      <c r="E48" s="2">
        <v>5</v>
      </c>
      <c r="G48" s="2">
        <v>4</v>
      </c>
      <c r="H48" s="2">
        <v>3</v>
      </c>
      <c r="K48" s="2">
        <f>POWER((B48-H53),2)</f>
        <v>1.7777777777777795</v>
      </c>
      <c r="L48" s="2">
        <f>POWER((C48-H54),2)</f>
        <v>2.7777777777777759</v>
      </c>
      <c r="M48" s="2">
        <f>POWER((D48-H55),2)</f>
        <v>1.7777777777777781</v>
      </c>
      <c r="N48" s="2">
        <f>POWER((E48-H56),2)</f>
        <v>0.11111111111111091</v>
      </c>
      <c r="O48" s="2">
        <f>SUM(K48:N48)/3</f>
        <v>2.1481481481481484</v>
      </c>
    </row>
    <row r="49" spans="1:15" x14ac:dyDescent="0.3">
      <c r="A49" s="1" t="s">
        <v>199</v>
      </c>
      <c r="B49" s="2">
        <v>10</v>
      </c>
      <c r="C49" s="2">
        <v>7</v>
      </c>
      <c r="D49" s="2">
        <v>3</v>
      </c>
      <c r="E49" s="2">
        <v>6</v>
      </c>
      <c r="K49" s="2">
        <f>POWER((B49-H53),2)</f>
        <v>0.44444444444444364</v>
      </c>
      <c r="L49" s="2">
        <f>POWER((C49-H54),2)</f>
        <v>1.7777777777777795</v>
      </c>
      <c r="M49" s="2">
        <f>POWER((D49-H55),2)</f>
        <v>0.11111111111111122</v>
      </c>
      <c r="N49" s="2">
        <f>POWER((E49-H56),2)</f>
        <v>1.777777777777777</v>
      </c>
      <c r="O49" s="2">
        <f t="shared" ref="O49:O50" si="0">SUM(K49:N49)/3</f>
        <v>1.3703703703703705</v>
      </c>
    </row>
    <row r="50" spans="1:15" x14ac:dyDescent="0.3">
      <c r="A50" s="1" t="s">
        <v>200</v>
      </c>
      <c r="B50" s="2">
        <v>10</v>
      </c>
      <c r="C50" s="2">
        <v>8</v>
      </c>
      <c r="D50" s="2">
        <v>5</v>
      </c>
      <c r="E50" s="2">
        <v>3</v>
      </c>
      <c r="K50" s="2">
        <f>POWER((B50-H53),2)</f>
        <v>0.44444444444444364</v>
      </c>
      <c r="L50" s="2">
        <f>POWER((C50-H54),2)</f>
        <v>0.11111111111111151</v>
      </c>
      <c r="M50" s="2">
        <f>POWER((D50-H55),2)</f>
        <v>2.7777777777777772</v>
      </c>
      <c r="N50" s="2">
        <f>POWER((E50-H56),2)</f>
        <v>2.7777777777777786</v>
      </c>
      <c r="O50" s="2">
        <f t="shared" si="0"/>
        <v>2.0370370370370368</v>
      </c>
    </row>
    <row r="51" spans="1:15" x14ac:dyDescent="0.3">
      <c r="J51" s="1" t="s">
        <v>214</v>
      </c>
      <c r="K51" s="2">
        <f>SUM(K48:K50)/2</f>
        <v>1.3333333333333335</v>
      </c>
      <c r="L51" s="2">
        <f t="shared" ref="L51:N51" si="1">SUM(L48:L50)/2</f>
        <v>2.3333333333333335</v>
      </c>
      <c r="M51" s="2">
        <f t="shared" si="1"/>
        <v>2.333333333333333</v>
      </c>
      <c r="N51" s="2">
        <f t="shared" si="1"/>
        <v>2.333333333333333</v>
      </c>
    </row>
    <row r="53" spans="1:15" x14ac:dyDescent="0.3">
      <c r="A53" s="1" t="s">
        <v>201</v>
      </c>
      <c r="B53" s="2">
        <f>SUM(B48:B50)</f>
        <v>28</v>
      </c>
      <c r="D53" s="1" t="s">
        <v>180</v>
      </c>
      <c r="E53" s="2">
        <f>B53/B57</f>
        <v>0.36363636363636365</v>
      </c>
      <c r="G53" s="1" t="s">
        <v>215</v>
      </c>
      <c r="H53" s="2">
        <f>B53/H48</f>
        <v>9.3333333333333339</v>
      </c>
    </row>
    <row r="54" spans="1:15" x14ac:dyDescent="0.3">
      <c r="A54" s="1" t="s">
        <v>203</v>
      </c>
      <c r="B54" s="2">
        <f>SUM(C48:C50)</f>
        <v>25</v>
      </c>
      <c r="D54" s="1" t="s">
        <v>181</v>
      </c>
      <c r="E54" s="2">
        <f>B54/B57</f>
        <v>0.32467532467532467</v>
      </c>
      <c r="G54" s="1" t="s">
        <v>216</v>
      </c>
      <c r="H54" s="2">
        <f>B54/H48</f>
        <v>8.3333333333333339</v>
      </c>
    </row>
    <row r="55" spans="1:15" x14ac:dyDescent="0.3">
      <c r="A55" s="1" t="s">
        <v>205</v>
      </c>
      <c r="B55" s="2">
        <f>SUM(D48:D50)</f>
        <v>10</v>
      </c>
      <c r="D55" s="1" t="s">
        <v>182</v>
      </c>
      <c r="E55" s="2">
        <f>B55/B57</f>
        <v>0.12987012987012986</v>
      </c>
      <c r="G55" s="1" t="s">
        <v>217</v>
      </c>
      <c r="H55" s="2">
        <f>B55/H48</f>
        <v>3.3333333333333335</v>
      </c>
    </row>
    <row r="56" spans="1:15" x14ac:dyDescent="0.3">
      <c r="A56" s="1" t="s">
        <v>207</v>
      </c>
      <c r="B56" s="2">
        <f>SUM(E48:E50)</f>
        <v>14</v>
      </c>
      <c r="D56" s="1" t="s">
        <v>183</v>
      </c>
      <c r="E56" s="2">
        <f>B56/B57</f>
        <v>0.18181818181818182</v>
      </c>
      <c r="G56" s="1" t="s">
        <v>218</v>
      </c>
      <c r="H56" s="2">
        <f>B56/H48</f>
        <v>4.666666666666667</v>
      </c>
    </row>
    <row r="57" spans="1:15" x14ac:dyDescent="0.3">
      <c r="A57" s="1" t="s">
        <v>209</v>
      </c>
      <c r="B57" s="2">
        <f>SUM(B53:B56)</f>
        <v>77</v>
      </c>
    </row>
  </sheetData>
  <mergeCells count="5">
    <mergeCell ref="A1:F4"/>
    <mergeCell ref="G1:L17"/>
    <mergeCell ref="A6:E6"/>
    <mergeCell ref="A32:E32"/>
    <mergeCell ref="A46:E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2367-9E7C-4854-B95D-83C9EB39E6CD}">
  <dimension ref="A1:AD107"/>
  <sheetViews>
    <sheetView zoomScaleNormal="100" workbookViewId="0">
      <selection sqref="A1:D4"/>
    </sheetView>
  </sheetViews>
  <sheetFormatPr defaultRowHeight="14.4" x14ac:dyDescent="0.3"/>
  <cols>
    <col min="1" max="1" width="19.6640625" bestFit="1" customWidth="1"/>
    <col min="2" max="2" width="12.88671875" customWidth="1"/>
    <col min="3" max="3" width="12" bestFit="1" customWidth="1"/>
    <col min="4" max="4" width="8.5546875" bestFit="1" customWidth="1"/>
    <col min="5" max="5" width="12" bestFit="1" customWidth="1"/>
    <col min="6" max="6" width="13.33203125" bestFit="1" customWidth="1"/>
    <col min="7" max="7" width="16.6640625" bestFit="1" customWidth="1"/>
    <col min="8" max="8" width="3.21875" bestFit="1" customWidth="1"/>
    <col min="9" max="9" width="12" bestFit="1" customWidth="1"/>
    <col min="10" max="10" width="6.6640625" customWidth="1"/>
    <col min="11" max="11" width="6" bestFit="1" customWidth="1"/>
    <col min="12" max="12" width="12" bestFit="1" customWidth="1"/>
    <col min="13" max="17" width="6.6640625" customWidth="1"/>
  </cols>
  <sheetData>
    <row r="1" spans="1:10" ht="14.4" customHeight="1" x14ac:dyDescent="0.3">
      <c r="A1" s="87" t="s">
        <v>273</v>
      </c>
      <c r="B1" s="87"/>
      <c r="C1" s="87"/>
      <c r="D1" s="87"/>
      <c r="F1" s="80" t="s">
        <v>17</v>
      </c>
      <c r="G1" s="80"/>
      <c r="H1" s="80"/>
      <c r="I1" s="80"/>
      <c r="J1" s="80"/>
    </row>
    <row r="2" spans="1:10" x14ac:dyDescent="0.3">
      <c r="A2" s="87"/>
      <c r="B2" s="87"/>
      <c r="C2" s="87"/>
      <c r="D2" s="87"/>
      <c r="F2" s="80"/>
      <c r="G2" s="80"/>
      <c r="H2" s="80"/>
      <c r="I2" s="80"/>
      <c r="J2" s="80"/>
    </row>
    <row r="3" spans="1:10" x14ac:dyDescent="0.3">
      <c r="A3" s="87"/>
      <c r="B3" s="87"/>
      <c r="C3" s="87"/>
      <c r="D3" s="87"/>
      <c r="F3" s="80"/>
      <c r="G3" s="80"/>
      <c r="H3" s="80"/>
      <c r="I3" s="80"/>
      <c r="J3" s="80"/>
    </row>
    <row r="4" spans="1:10" ht="21" customHeight="1" x14ac:dyDescent="0.3">
      <c r="A4" s="87"/>
      <c r="B4" s="87"/>
      <c r="C4" s="87"/>
      <c r="D4" s="87"/>
      <c r="F4" s="80"/>
      <c r="G4" s="80"/>
      <c r="H4" s="80"/>
      <c r="I4" s="80"/>
      <c r="J4" s="80"/>
    </row>
    <row r="5" spans="1:10" x14ac:dyDescent="0.3">
      <c r="F5" s="80"/>
      <c r="G5" s="80"/>
      <c r="H5" s="80"/>
      <c r="I5" s="80"/>
      <c r="J5" s="80"/>
    </row>
    <row r="7" spans="1:10" x14ac:dyDescent="0.3">
      <c r="A7" s="3" t="s">
        <v>0</v>
      </c>
      <c r="B7" s="3" t="s">
        <v>4</v>
      </c>
      <c r="C7" s="3" t="s">
        <v>5</v>
      </c>
      <c r="D7" s="3" t="s">
        <v>6</v>
      </c>
      <c r="E7" s="3" t="s">
        <v>7</v>
      </c>
      <c r="F7" s="3" t="s">
        <v>8</v>
      </c>
      <c r="G7" s="3" t="s">
        <v>9</v>
      </c>
    </row>
    <row r="8" spans="1:10" ht="28.8" x14ac:dyDescent="0.3">
      <c r="A8" s="4" t="s">
        <v>3</v>
      </c>
      <c r="B8" s="5">
        <v>5</v>
      </c>
      <c r="C8" s="5">
        <v>2</v>
      </c>
      <c r="D8" s="5">
        <v>6</v>
      </c>
      <c r="E8" s="5">
        <v>5</v>
      </c>
      <c r="F8" s="5">
        <v>7</v>
      </c>
      <c r="G8" s="5">
        <v>4</v>
      </c>
    </row>
    <row r="9" spans="1:10" ht="43.2" x14ac:dyDescent="0.3">
      <c r="A9" s="4" t="s">
        <v>1</v>
      </c>
      <c r="B9" s="5" t="s">
        <v>10</v>
      </c>
      <c r="C9" s="5" t="s">
        <v>10</v>
      </c>
      <c r="D9" s="5" t="s">
        <v>10</v>
      </c>
      <c r="E9" s="5" t="s">
        <v>11</v>
      </c>
      <c r="F9" s="6" t="s">
        <v>12</v>
      </c>
      <c r="G9" s="6" t="s">
        <v>13</v>
      </c>
    </row>
    <row r="10" spans="1:10" x14ac:dyDescent="0.3">
      <c r="A10" s="3" t="s">
        <v>2</v>
      </c>
      <c r="B10" s="5" t="s">
        <v>14</v>
      </c>
      <c r="C10" s="5" t="s">
        <v>15</v>
      </c>
      <c r="D10" s="5" t="s">
        <v>11</v>
      </c>
      <c r="E10" s="5" t="s">
        <v>15</v>
      </c>
      <c r="F10" s="5" t="s">
        <v>16</v>
      </c>
      <c r="G10" s="5" t="s">
        <v>15</v>
      </c>
    </row>
    <row r="12" spans="1:10" x14ac:dyDescent="0.3">
      <c r="A12" s="80" t="s">
        <v>21</v>
      </c>
      <c r="B12" s="86"/>
      <c r="C12" s="86"/>
      <c r="D12" s="86"/>
      <c r="E12" s="86"/>
      <c r="F12" s="86"/>
      <c r="G12" s="86"/>
    </row>
    <row r="13" spans="1:10" x14ac:dyDescent="0.3">
      <c r="A13" s="86"/>
      <c r="B13" s="86"/>
      <c r="C13" s="86"/>
      <c r="D13" s="86"/>
      <c r="E13" s="86"/>
      <c r="F13" s="86"/>
      <c r="G13" s="86"/>
    </row>
    <row r="15" spans="1:10" x14ac:dyDescent="0.3">
      <c r="A15" s="1"/>
      <c r="B15" s="1" t="s">
        <v>18</v>
      </c>
      <c r="C15" s="1" t="s">
        <v>19</v>
      </c>
      <c r="D15" s="1" t="s">
        <v>20</v>
      </c>
    </row>
    <row r="16" spans="1:10" x14ac:dyDescent="0.3">
      <c r="A16" s="1" t="s">
        <v>18</v>
      </c>
      <c r="B16" s="2">
        <v>1</v>
      </c>
      <c r="C16" s="7">
        <v>7</v>
      </c>
      <c r="D16" s="8">
        <v>0.25</v>
      </c>
    </row>
    <row r="17" spans="1:12" x14ac:dyDescent="0.3">
      <c r="A17" s="1" t="s">
        <v>19</v>
      </c>
      <c r="B17" s="8">
        <v>0.14285714285714285</v>
      </c>
      <c r="C17" s="2">
        <v>1</v>
      </c>
      <c r="D17" s="8">
        <v>0.125</v>
      </c>
    </row>
    <row r="18" spans="1:12" x14ac:dyDescent="0.3">
      <c r="A18" s="1" t="s">
        <v>20</v>
      </c>
      <c r="B18" s="2">
        <v>4</v>
      </c>
      <c r="C18" s="2">
        <v>8</v>
      </c>
      <c r="D18" s="2">
        <v>1</v>
      </c>
    </row>
    <row r="20" spans="1:12" x14ac:dyDescent="0.3">
      <c r="A20" s="1" t="s">
        <v>22</v>
      </c>
      <c r="B20" s="2">
        <f>POWER(PRODUCT(B16:D16),1/3)</f>
        <v>1.2050711320876151</v>
      </c>
      <c r="D20" s="1" t="s">
        <v>39</v>
      </c>
      <c r="E20" s="2">
        <f>B20/B23</f>
        <v>0.2596435350167175</v>
      </c>
    </row>
    <row r="21" spans="1:12" x14ac:dyDescent="0.3">
      <c r="A21" s="1" t="s">
        <v>23</v>
      </c>
      <c r="B21" s="2">
        <f t="shared" ref="B21:B22" si="0">POWER(PRODUCT(B17:D17),1/3)</f>
        <v>0.2613789792873551</v>
      </c>
      <c r="D21" s="1" t="s">
        <v>40</v>
      </c>
      <c r="E21" s="2">
        <f>B21/B23</f>
        <v>5.6316478217898341E-2</v>
      </c>
    </row>
    <row r="22" spans="1:12" x14ac:dyDescent="0.3">
      <c r="A22" s="1" t="s">
        <v>24</v>
      </c>
      <c r="B22" s="2">
        <f t="shared" si="0"/>
        <v>3.1748021039363987</v>
      </c>
      <c r="D22" s="1" t="s">
        <v>41</v>
      </c>
      <c r="E22" s="2">
        <f>B22/B23</f>
        <v>0.68403998676538424</v>
      </c>
    </row>
    <row r="23" spans="1:12" x14ac:dyDescent="0.3">
      <c r="A23" s="1" t="s">
        <v>25</v>
      </c>
      <c r="B23" s="2">
        <f>SUM(B20:B22)</f>
        <v>4.6412522153113684</v>
      </c>
    </row>
    <row r="25" spans="1:12" x14ac:dyDescent="0.3">
      <c r="A25" s="1"/>
      <c r="B25" s="3" t="s">
        <v>5</v>
      </c>
      <c r="C25" s="3" t="s">
        <v>6</v>
      </c>
      <c r="D25" s="3" t="s">
        <v>7</v>
      </c>
      <c r="E25" s="3" t="s">
        <v>8</v>
      </c>
      <c r="F25" s="3" t="s">
        <v>9</v>
      </c>
      <c r="H25" s="1" t="s">
        <v>23</v>
      </c>
      <c r="I25" s="2">
        <f>POWER(PRODUCT(B26:F26),1/5)</f>
        <v>0.2251600064201022</v>
      </c>
      <c r="K25" s="1" t="s">
        <v>42</v>
      </c>
      <c r="L25" s="2">
        <f>I25/I30</f>
        <v>2.8829468721358317E-2</v>
      </c>
    </row>
    <row r="26" spans="1:12" x14ac:dyDescent="0.3">
      <c r="A26" s="3" t="s">
        <v>5</v>
      </c>
      <c r="B26" s="2">
        <v>1</v>
      </c>
      <c r="C26" s="8">
        <v>0.125</v>
      </c>
      <c r="D26" s="8">
        <v>0.16666666666666666</v>
      </c>
      <c r="E26" s="8">
        <v>0.1111111111111111</v>
      </c>
      <c r="F26" s="8">
        <v>0.25</v>
      </c>
      <c r="H26" s="1" t="s">
        <v>24</v>
      </c>
      <c r="I26" s="2">
        <f>POWER(PRODUCT(B27:F27),1/5)</f>
        <v>2.0912791051825463</v>
      </c>
      <c r="K26" s="1" t="s">
        <v>43</v>
      </c>
      <c r="L26" s="2">
        <f>I26/I30</f>
        <v>0.26776720479391369</v>
      </c>
    </row>
    <row r="27" spans="1:12" x14ac:dyDescent="0.3">
      <c r="A27" s="3" t="s">
        <v>6</v>
      </c>
      <c r="B27" s="2">
        <v>8</v>
      </c>
      <c r="C27" s="2">
        <v>1</v>
      </c>
      <c r="D27" s="2">
        <v>3</v>
      </c>
      <c r="E27" s="8">
        <v>0.33333333333333331</v>
      </c>
      <c r="F27" s="2">
        <v>5</v>
      </c>
      <c r="H27" s="1" t="s">
        <v>28</v>
      </c>
      <c r="I27" s="2">
        <f>POWER(PRODUCT(B28:F28),1/5)</f>
        <v>1.0371372893366482</v>
      </c>
      <c r="K27" s="1" t="s">
        <v>44</v>
      </c>
      <c r="L27" s="2">
        <f>I27/I30</f>
        <v>0.1327949733084382</v>
      </c>
    </row>
    <row r="28" spans="1:12" x14ac:dyDescent="0.3">
      <c r="A28" s="3" t="s">
        <v>7</v>
      </c>
      <c r="B28" s="2">
        <v>6</v>
      </c>
      <c r="C28" s="8">
        <v>0.33333333333333331</v>
      </c>
      <c r="D28" s="2">
        <v>1</v>
      </c>
      <c r="E28" s="8">
        <v>0.2</v>
      </c>
      <c r="F28" s="2">
        <v>3</v>
      </c>
      <c r="H28" s="1" t="s">
        <v>29</v>
      </c>
      <c r="I28" s="2">
        <f>POWER(PRODUCT(B29:F29),1/5)</f>
        <v>3.9362834270353519</v>
      </c>
      <c r="K28" s="1" t="s">
        <v>45</v>
      </c>
      <c r="L28" s="2">
        <f>I28/I30</f>
        <v>0.5040014065658921</v>
      </c>
    </row>
    <row r="29" spans="1:12" x14ac:dyDescent="0.3">
      <c r="A29" s="3" t="s">
        <v>8</v>
      </c>
      <c r="B29" s="2">
        <v>9</v>
      </c>
      <c r="C29" s="2">
        <v>3</v>
      </c>
      <c r="D29" s="2">
        <v>5</v>
      </c>
      <c r="E29" s="2">
        <v>1</v>
      </c>
      <c r="F29" s="2">
        <v>7</v>
      </c>
      <c r="H29" s="1" t="s">
        <v>30</v>
      </c>
      <c r="I29" s="2">
        <f>POWER(PRODUCT(B30:F30),1/5)</f>
        <v>0.52020454040867747</v>
      </c>
      <c r="K29" s="1" t="s">
        <v>46</v>
      </c>
      <c r="L29" s="2">
        <f>I29/I30</f>
        <v>6.6606946610397677E-2</v>
      </c>
    </row>
    <row r="30" spans="1:12" x14ac:dyDescent="0.3">
      <c r="A30" s="3" t="s">
        <v>9</v>
      </c>
      <c r="B30" s="2">
        <v>4</v>
      </c>
      <c r="C30" s="8">
        <v>0.2</v>
      </c>
      <c r="D30" s="8">
        <v>0.33333333333333331</v>
      </c>
      <c r="E30" s="8">
        <v>0.14285714285714285</v>
      </c>
      <c r="F30" s="2">
        <v>1</v>
      </c>
      <c r="H30" s="1" t="s">
        <v>25</v>
      </c>
      <c r="I30" s="2">
        <f>SUM(I25:I29)</f>
        <v>7.8100643683833262</v>
      </c>
    </row>
    <row r="32" spans="1:12" x14ac:dyDescent="0.3">
      <c r="A32" s="1"/>
      <c r="B32" s="3" t="s">
        <v>5</v>
      </c>
      <c r="C32" s="3" t="s">
        <v>6</v>
      </c>
      <c r="D32" s="3" t="s">
        <v>7</v>
      </c>
      <c r="E32" s="3" t="s">
        <v>8</v>
      </c>
      <c r="F32" s="3" t="s">
        <v>9</v>
      </c>
      <c r="H32" s="1" t="s">
        <v>23</v>
      </c>
      <c r="I32" s="2">
        <f>POWER(PRODUCT(B33:F33),1/5)</f>
        <v>2.5365174816357361</v>
      </c>
      <c r="K32" s="1" t="s">
        <v>26</v>
      </c>
      <c r="L32" s="2">
        <f>I32/I37</f>
        <v>0.36376016424305369</v>
      </c>
    </row>
    <row r="33" spans="1:12" x14ac:dyDescent="0.3">
      <c r="A33" s="3" t="s">
        <v>5</v>
      </c>
      <c r="B33" s="7">
        <v>1</v>
      </c>
      <c r="C33" s="7">
        <v>1</v>
      </c>
      <c r="D33" s="7">
        <v>5</v>
      </c>
      <c r="E33" s="7">
        <v>7</v>
      </c>
      <c r="F33" s="7">
        <v>3</v>
      </c>
      <c r="H33" s="1" t="s">
        <v>24</v>
      </c>
      <c r="I33" s="2">
        <f>POWER(PRODUCT(B34:F34),1/5)</f>
        <v>2.5365174816357361</v>
      </c>
      <c r="K33" s="1" t="s">
        <v>27</v>
      </c>
      <c r="L33" s="2">
        <f>I33/I37</f>
        <v>0.36376016424305369</v>
      </c>
    </row>
    <row r="34" spans="1:12" x14ac:dyDescent="0.3">
      <c r="A34" s="3" t="s">
        <v>6</v>
      </c>
      <c r="B34" s="7">
        <v>1</v>
      </c>
      <c r="C34" s="7">
        <v>1</v>
      </c>
      <c r="D34" s="7">
        <v>5</v>
      </c>
      <c r="E34" s="7">
        <v>7</v>
      </c>
      <c r="F34" s="7">
        <v>3</v>
      </c>
      <c r="H34" s="1" t="s">
        <v>28</v>
      </c>
      <c r="I34" s="2">
        <f>POWER(PRODUCT(B35:F35),1/5)</f>
        <v>0.52530556088075342</v>
      </c>
      <c r="K34" s="1" t="s">
        <v>31</v>
      </c>
      <c r="L34" s="2">
        <f>I34/I37</f>
        <v>7.5333696096013605E-2</v>
      </c>
    </row>
    <row r="35" spans="1:12" x14ac:dyDescent="0.3">
      <c r="A35" s="3" t="s">
        <v>7</v>
      </c>
      <c r="B35" s="10">
        <v>0.2</v>
      </c>
      <c r="C35" s="10">
        <v>0.2</v>
      </c>
      <c r="D35" s="7">
        <v>1</v>
      </c>
      <c r="E35" s="7">
        <v>3</v>
      </c>
      <c r="F35" s="10">
        <v>0.33333333333333331</v>
      </c>
      <c r="H35" s="1" t="s">
        <v>29</v>
      </c>
      <c r="I35" s="2">
        <f>POWER(PRODUCT(B36:F36),1/5)</f>
        <v>0.26714222090182749</v>
      </c>
      <c r="K35" s="1" t="s">
        <v>32</v>
      </c>
      <c r="L35" s="2">
        <f>I35/I37</f>
        <v>3.831067550491974E-2</v>
      </c>
    </row>
    <row r="36" spans="1:12" x14ac:dyDescent="0.3">
      <c r="A36" s="3" t="s">
        <v>8</v>
      </c>
      <c r="B36" s="10">
        <v>0.14285714285714285</v>
      </c>
      <c r="C36" s="10">
        <v>0.14285714285714285</v>
      </c>
      <c r="D36" s="10">
        <v>0.33333333333333331</v>
      </c>
      <c r="E36" s="7">
        <v>1</v>
      </c>
      <c r="F36" s="10">
        <v>0.2</v>
      </c>
      <c r="H36" s="1" t="s">
        <v>30</v>
      </c>
      <c r="I36" s="2">
        <f>POWER(PRODUCT(B37:F37),1/5)</f>
        <v>1.1075663432482898</v>
      </c>
      <c r="K36" s="1" t="s">
        <v>33</v>
      </c>
      <c r="L36" s="2">
        <f>I36/I37</f>
        <v>0.15883529991295928</v>
      </c>
    </row>
    <row r="37" spans="1:12" x14ac:dyDescent="0.3">
      <c r="A37" s="3" t="s">
        <v>9</v>
      </c>
      <c r="B37" s="10">
        <v>0.33333333333333331</v>
      </c>
      <c r="C37" s="10">
        <v>0.33333333333333331</v>
      </c>
      <c r="D37" s="7">
        <v>3</v>
      </c>
      <c r="E37" s="7">
        <v>5</v>
      </c>
      <c r="F37" s="7">
        <v>1</v>
      </c>
      <c r="H37" s="1" t="s">
        <v>25</v>
      </c>
      <c r="I37" s="2">
        <f>SUM(I32:I36)</f>
        <v>6.9730490883023428</v>
      </c>
    </row>
    <row r="39" spans="1:12" x14ac:dyDescent="0.3">
      <c r="A39" s="1"/>
      <c r="B39" s="3" t="s">
        <v>5</v>
      </c>
      <c r="C39" s="3" t="s">
        <v>6</v>
      </c>
      <c r="D39" s="3" t="s">
        <v>7</v>
      </c>
      <c r="E39" s="3" t="s">
        <v>8</v>
      </c>
      <c r="F39" s="3" t="s">
        <v>9</v>
      </c>
      <c r="H39" s="1" t="s">
        <v>23</v>
      </c>
      <c r="I39" s="2">
        <f>POWER(PRODUCT(B40:F40),1/5)</f>
        <v>1.9036539387158786</v>
      </c>
      <c r="K39" s="1" t="s">
        <v>26</v>
      </c>
      <c r="L39" s="2">
        <f>I39/I44</f>
        <v>0.29411764705882354</v>
      </c>
    </row>
    <row r="40" spans="1:12" x14ac:dyDescent="0.3">
      <c r="A40" s="3" t="s">
        <v>5</v>
      </c>
      <c r="B40" s="7">
        <v>1</v>
      </c>
      <c r="C40" s="7">
        <v>5</v>
      </c>
      <c r="D40" s="7">
        <v>1</v>
      </c>
      <c r="E40" s="7">
        <v>5</v>
      </c>
      <c r="F40" s="7">
        <v>1</v>
      </c>
      <c r="H40" s="1" t="s">
        <v>24</v>
      </c>
      <c r="I40" s="2">
        <f>POWER(PRODUCT(B41:F41),1/5)</f>
        <v>0.3807307877431757</v>
      </c>
      <c r="K40" s="1" t="s">
        <v>27</v>
      </c>
      <c r="L40" s="2">
        <f>I40/I44</f>
        <v>5.8823529411764712E-2</v>
      </c>
    </row>
    <row r="41" spans="1:12" x14ac:dyDescent="0.3">
      <c r="A41" s="3" t="s">
        <v>6</v>
      </c>
      <c r="B41" s="10">
        <v>0.2</v>
      </c>
      <c r="C41" s="7">
        <v>1</v>
      </c>
      <c r="D41" s="10">
        <v>0.2</v>
      </c>
      <c r="E41" s="7">
        <v>1</v>
      </c>
      <c r="F41" s="10">
        <v>0.2</v>
      </c>
      <c r="H41" s="1" t="s">
        <v>28</v>
      </c>
      <c r="I41" s="2">
        <f>POWER(PRODUCT(B42:F42),1/5)</f>
        <v>1.9036539387158786</v>
      </c>
      <c r="K41" s="1" t="s">
        <v>31</v>
      </c>
      <c r="L41" s="2">
        <f>I41/I44</f>
        <v>0.29411764705882354</v>
      </c>
    </row>
    <row r="42" spans="1:12" x14ac:dyDescent="0.3">
      <c r="A42" s="3" t="s">
        <v>7</v>
      </c>
      <c r="B42" s="11">
        <v>1</v>
      </c>
      <c r="C42" s="11">
        <v>5</v>
      </c>
      <c r="D42" s="7">
        <v>1</v>
      </c>
      <c r="E42" s="7">
        <v>5</v>
      </c>
      <c r="F42" s="11">
        <v>1</v>
      </c>
      <c r="H42" s="1" t="s">
        <v>29</v>
      </c>
      <c r="I42" s="2">
        <f>POWER(PRODUCT(B43:F43),1/5)</f>
        <v>0.3807307877431757</v>
      </c>
      <c r="K42" s="1" t="s">
        <v>32</v>
      </c>
      <c r="L42" s="2">
        <f>I42/I44</f>
        <v>5.8823529411764712E-2</v>
      </c>
    </row>
    <row r="43" spans="1:12" x14ac:dyDescent="0.3">
      <c r="A43" s="3" t="s">
        <v>8</v>
      </c>
      <c r="B43" s="10">
        <v>0.2</v>
      </c>
      <c r="C43" s="11">
        <v>1</v>
      </c>
      <c r="D43" s="10">
        <v>0.2</v>
      </c>
      <c r="E43" s="7">
        <v>1</v>
      </c>
      <c r="F43" s="10">
        <v>0.2</v>
      </c>
      <c r="H43" s="1" t="s">
        <v>30</v>
      </c>
      <c r="I43" s="2">
        <f>POWER(PRODUCT(B44:F44),1/5)</f>
        <v>1.9036539387158786</v>
      </c>
      <c r="K43" s="1" t="s">
        <v>33</v>
      </c>
      <c r="L43" s="2">
        <f>I43/I44</f>
        <v>0.29411764705882354</v>
      </c>
    </row>
    <row r="44" spans="1:12" x14ac:dyDescent="0.3">
      <c r="A44" s="3" t="s">
        <v>9</v>
      </c>
      <c r="B44" s="11">
        <v>1</v>
      </c>
      <c r="C44" s="11">
        <v>5</v>
      </c>
      <c r="D44" s="7">
        <v>1</v>
      </c>
      <c r="E44" s="7">
        <v>5</v>
      </c>
      <c r="F44" s="7">
        <v>1</v>
      </c>
      <c r="H44" s="1" t="s">
        <v>25</v>
      </c>
      <c r="I44" s="2">
        <f>SUM(I39:I43)</f>
        <v>6.4724233916339866</v>
      </c>
    </row>
    <row r="46" spans="1:12" x14ac:dyDescent="0.3">
      <c r="B46" s="1" t="s">
        <v>34</v>
      </c>
      <c r="C46" s="2">
        <f>E20*L25+E21*L32+E22*L39</f>
        <v>0.22915930793918401</v>
      </c>
    </row>
    <row r="47" spans="1:12" x14ac:dyDescent="0.3">
      <c r="B47" s="1" t="s">
        <v>35</v>
      </c>
      <c r="C47" s="2">
        <f>L26*E20+E21*L33+E22*L40</f>
        <v>0.13024736126068687</v>
      </c>
    </row>
    <row r="48" spans="1:12" x14ac:dyDescent="0.3">
      <c r="B48" s="1" t="s">
        <v>36</v>
      </c>
      <c r="C48" s="2">
        <f>E20*L27+E21*L34+E22*L41</f>
        <v>0.23991011615910207</v>
      </c>
    </row>
    <row r="49" spans="2:3" x14ac:dyDescent="0.3">
      <c r="B49" s="1" t="s">
        <v>37</v>
      </c>
      <c r="C49" s="2">
        <f>L28*E20+E21*L35+E22*L42</f>
        <v>0.17325587545706858</v>
      </c>
    </row>
    <row r="50" spans="2:3" x14ac:dyDescent="0.3">
      <c r="B50" s="1" t="s">
        <v>38</v>
      </c>
      <c r="C50" s="2">
        <f>E20*L29+E21*L36+E22*L43</f>
        <v>0.22742733918395855</v>
      </c>
    </row>
    <row r="93" spans="1:28" ht="14.4" customHeight="1" x14ac:dyDescent="0.3">
      <c r="B93" s="12"/>
      <c r="C93" s="12"/>
      <c r="D93" s="12"/>
      <c r="E93" s="12"/>
      <c r="F93" s="12"/>
    </row>
    <row r="94" spans="1:28" x14ac:dyDescent="0.3">
      <c r="A94" s="15"/>
      <c r="B94" s="15"/>
      <c r="C94" s="15"/>
      <c r="D94" s="15"/>
      <c r="E94" s="15"/>
      <c r="F94" s="15"/>
      <c r="G94" s="16"/>
      <c r="H94" s="16"/>
      <c r="I94" s="16"/>
      <c r="J94" s="16"/>
      <c r="K94" s="16"/>
      <c r="L94" s="16"/>
      <c r="M94" s="16"/>
      <c r="N94" s="16"/>
      <c r="O94" s="16"/>
      <c r="P94" s="16"/>
      <c r="Q94" s="16"/>
      <c r="R94" s="16"/>
      <c r="S94" s="16"/>
      <c r="T94" s="16"/>
      <c r="U94" s="16"/>
      <c r="V94" s="16"/>
      <c r="W94" s="16"/>
      <c r="X94" s="16"/>
      <c r="Y94" s="16"/>
      <c r="Z94" s="16"/>
      <c r="AA94" s="16"/>
      <c r="AB94" s="16"/>
    </row>
    <row r="95" spans="1:28" x14ac:dyDescent="0.3">
      <c r="A95" s="12"/>
      <c r="B95" s="12"/>
      <c r="C95" s="12"/>
      <c r="D95" s="12"/>
      <c r="E95" s="12"/>
      <c r="F95" s="12"/>
    </row>
    <row r="96" spans="1:28" x14ac:dyDescent="0.3">
      <c r="A96" s="12"/>
      <c r="B96" s="12"/>
      <c r="C96" s="12"/>
      <c r="D96" s="12"/>
      <c r="E96" s="12"/>
      <c r="F96" s="12"/>
    </row>
    <row r="97" spans="1:30" x14ac:dyDescent="0.3">
      <c r="A97" s="12"/>
      <c r="B97" s="12"/>
      <c r="C97" s="12"/>
      <c r="D97" s="12"/>
      <c r="E97" s="12"/>
      <c r="F97" s="12"/>
    </row>
    <row r="98" spans="1:30" x14ac:dyDescent="0.3">
      <c r="A98" s="12"/>
      <c r="B98" s="12"/>
      <c r="C98" s="12"/>
      <c r="D98" s="12"/>
      <c r="E98" s="12"/>
      <c r="F98" s="12"/>
    </row>
    <row r="99" spans="1:30" x14ac:dyDescent="0.3">
      <c r="A99" s="12"/>
      <c r="B99" s="12"/>
      <c r="C99" s="12"/>
      <c r="D99" s="12"/>
      <c r="E99" s="12"/>
      <c r="F99" s="12"/>
      <c r="I99" s="12"/>
      <c r="J99" s="12"/>
      <c r="K99" s="12"/>
      <c r="O99" s="12"/>
      <c r="P99" s="12"/>
      <c r="Q99" s="12"/>
    </row>
    <row r="100" spans="1:30" x14ac:dyDescent="0.3">
      <c r="A100" s="12"/>
      <c r="B100" s="12"/>
      <c r="C100" s="12"/>
      <c r="D100" s="12"/>
      <c r="E100" s="12"/>
      <c r="F100" s="12"/>
    </row>
    <row r="101" spans="1:30" x14ac:dyDescent="0.3">
      <c r="A101" s="12"/>
      <c r="B101" s="12"/>
      <c r="C101" s="12"/>
      <c r="D101" s="12"/>
      <c r="E101" s="12"/>
      <c r="F101" s="12"/>
      <c r="H101" s="17"/>
      <c r="W101" s="12"/>
      <c r="X101" s="12"/>
      <c r="Y101" s="12"/>
      <c r="Z101" s="12"/>
      <c r="AA101" s="12"/>
      <c r="AB101" s="12"/>
      <c r="AC101" s="12"/>
      <c r="AD101" s="12"/>
    </row>
    <row r="102" spans="1:30" x14ac:dyDescent="0.3">
      <c r="A102" s="12"/>
      <c r="B102" s="12"/>
      <c r="C102" s="12"/>
      <c r="D102" s="12"/>
      <c r="E102" s="12"/>
      <c r="F102" s="12"/>
      <c r="H102" s="12"/>
      <c r="W102" s="12"/>
      <c r="X102" s="12"/>
      <c r="Y102" s="12"/>
      <c r="Z102" s="12"/>
      <c r="AA102" s="12"/>
      <c r="AB102" s="12"/>
      <c r="AC102" s="12"/>
      <c r="AD102" s="12"/>
    </row>
    <row r="103" spans="1:30" x14ac:dyDescent="0.3">
      <c r="A103" s="12"/>
      <c r="B103" s="12"/>
      <c r="C103" s="12"/>
      <c r="D103" s="12"/>
      <c r="E103" s="12"/>
      <c r="F103" s="12"/>
      <c r="H103" s="12"/>
      <c r="W103" s="12"/>
      <c r="X103" s="12"/>
      <c r="Y103" s="12"/>
      <c r="Z103" s="12"/>
      <c r="AA103" s="12"/>
      <c r="AB103" s="12"/>
      <c r="AC103" s="12"/>
      <c r="AD103" s="12"/>
    </row>
    <row r="104" spans="1:30" x14ac:dyDescent="0.3">
      <c r="A104" s="12"/>
      <c r="B104" s="12"/>
      <c r="C104" s="12"/>
      <c r="D104" s="12"/>
      <c r="E104" s="12"/>
      <c r="F104" s="12"/>
      <c r="W104" s="12"/>
      <c r="X104" s="12"/>
      <c r="Y104" s="12"/>
      <c r="Z104" s="12"/>
      <c r="AA104" s="12"/>
      <c r="AB104" s="12"/>
      <c r="AC104" s="12"/>
      <c r="AD104" s="12"/>
    </row>
    <row r="105" spans="1:30" x14ac:dyDescent="0.3">
      <c r="W105" s="12"/>
      <c r="X105" s="12"/>
      <c r="Y105" s="12"/>
      <c r="Z105" s="12"/>
      <c r="AA105" s="12"/>
      <c r="AB105" s="12"/>
      <c r="AC105" s="12"/>
      <c r="AD105" s="12"/>
    </row>
    <row r="106" spans="1:30" x14ac:dyDescent="0.3">
      <c r="W106" s="12"/>
      <c r="X106" s="12"/>
      <c r="Y106" s="12"/>
      <c r="Z106" s="12"/>
      <c r="AA106" s="12"/>
      <c r="AB106" s="12"/>
      <c r="AC106" s="12"/>
      <c r="AD106" s="12"/>
    </row>
    <row r="107" spans="1:30" x14ac:dyDescent="0.3">
      <c r="D107" s="12"/>
      <c r="E107" s="12"/>
      <c r="W107" s="12"/>
      <c r="X107" s="12"/>
      <c r="Y107" s="12"/>
      <c r="Z107" s="12"/>
      <c r="AA107" s="12"/>
      <c r="AB107" s="12"/>
      <c r="AC107" s="12"/>
      <c r="AD107" s="12"/>
    </row>
  </sheetData>
  <mergeCells count="3">
    <mergeCell ref="A12:G13"/>
    <mergeCell ref="A1:D4"/>
    <mergeCell ref="F1:J5"/>
  </mergeCells>
  <phoneticPr fontId="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03D85-40D8-4E2C-B5FF-35785AA6ACD3}">
  <dimension ref="A1:S200"/>
  <sheetViews>
    <sheetView zoomScaleNormal="100" workbookViewId="0">
      <selection activeCell="V84" sqref="V84"/>
    </sheetView>
  </sheetViews>
  <sheetFormatPr defaultRowHeight="14.4" x14ac:dyDescent="0.3"/>
  <cols>
    <col min="1" max="1" width="19" customWidth="1"/>
    <col min="2" max="10" width="4" bestFit="1" customWidth="1"/>
  </cols>
  <sheetData>
    <row r="1" spans="1:15" ht="14.4" customHeight="1" x14ac:dyDescent="0.3">
      <c r="A1" s="80" t="s">
        <v>59</v>
      </c>
      <c r="B1" s="80"/>
      <c r="C1" s="80"/>
      <c r="D1" s="80"/>
      <c r="E1" s="80"/>
      <c r="F1" s="80"/>
      <c r="G1" s="80"/>
      <c r="H1" s="80"/>
      <c r="I1" s="80"/>
      <c r="J1" s="80"/>
      <c r="K1" s="80"/>
      <c r="L1" s="80"/>
      <c r="M1" s="80"/>
      <c r="N1" s="80"/>
      <c r="O1" s="80"/>
    </row>
    <row r="2" spans="1:15" x14ac:dyDescent="0.3">
      <c r="A2" s="80"/>
      <c r="B2" s="80"/>
      <c r="C2" s="80"/>
      <c r="D2" s="80"/>
      <c r="E2" s="80"/>
      <c r="F2" s="80"/>
      <c r="G2" s="80"/>
      <c r="H2" s="80"/>
      <c r="I2" s="80"/>
      <c r="J2" s="80"/>
      <c r="K2" s="80"/>
      <c r="L2" s="80"/>
      <c r="M2" s="80"/>
      <c r="N2" s="80"/>
      <c r="O2" s="80"/>
    </row>
    <row r="3" spans="1:15" x14ac:dyDescent="0.3">
      <c r="A3" s="80"/>
      <c r="B3" s="80"/>
      <c r="C3" s="80"/>
      <c r="D3" s="80"/>
      <c r="E3" s="80"/>
      <c r="F3" s="80"/>
      <c r="G3" s="80"/>
      <c r="H3" s="80"/>
      <c r="I3" s="80"/>
      <c r="J3" s="80"/>
      <c r="K3" s="80"/>
      <c r="L3" s="80"/>
      <c r="M3" s="80"/>
      <c r="N3" s="80"/>
      <c r="O3" s="80"/>
    </row>
    <row r="4" spans="1:15" x14ac:dyDescent="0.3">
      <c r="A4" s="80"/>
      <c r="B4" s="80"/>
      <c r="C4" s="80"/>
      <c r="D4" s="80"/>
      <c r="E4" s="80"/>
      <c r="F4" s="80"/>
      <c r="G4" s="80"/>
      <c r="H4" s="80"/>
      <c r="I4" s="80"/>
      <c r="J4" s="80"/>
      <c r="K4" s="80"/>
      <c r="L4" s="80"/>
      <c r="M4" s="80"/>
      <c r="N4" s="80"/>
      <c r="O4" s="80"/>
    </row>
    <row r="5" spans="1:15" x14ac:dyDescent="0.3">
      <c r="A5" s="80"/>
      <c r="B5" s="80"/>
      <c r="C5" s="80"/>
      <c r="D5" s="80"/>
      <c r="E5" s="80"/>
      <c r="F5" s="80"/>
      <c r="G5" s="80"/>
      <c r="H5" s="80"/>
      <c r="I5" s="80"/>
      <c r="J5" s="80"/>
      <c r="K5" s="80"/>
      <c r="L5" s="80"/>
      <c r="M5" s="80"/>
      <c r="N5" s="80"/>
      <c r="O5" s="80"/>
    </row>
    <row r="6" spans="1:15" x14ac:dyDescent="0.3">
      <c r="A6" s="80"/>
      <c r="B6" s="80"/>
      <c r="C6" s="80"/>
      <c r="D6" s="80"/>
      <c r="E6" s="80"/>
      <c r="F6" s="80"/>
      <c r="G6" s="80"/>
      <c r="H6" s="80"/>
      <c r="I6" s="80"/>
      <c r="J6" s="80"/>
      <c r="K6" s="80"/>
      <c r="L6" s="80"/>
      <c r="M6" s="80"/>
      <c r="N6" s="80"/>
      <c r="O6" s="80"/>
    </row>
    <row r="7" spans="1:15" x14ac:dyDescent="0.3">
      <c r="A7" s="80"/>
      <c r="B7" s="80"/>
      <c r="C7" s="80"/>
      <c r="D7" s="80"/>
      <c r="E7" s="80"/>
      <c r="F7" s="80"/>
      <c r="G7" s="80"/>
      <c r="H7" s="80"/>
      <c r="I7" s="80"/>
      <c r="J7" s="80"/>
      <c r="K7" s="80"/>
      <c r="L7" s="80"/>
      <c r="M7" s="80"/>
      <c r="N7" s="80"/>
      <c r="O7" s="80"/>
    </row>
    <row r="8" spans="1:15" x14ac:dyDescent="0.3">
      <c r="A8" s="80"/>
      <c r="B8" s="80"/>
      <c r="C8" s="80"/>
      <c r="D8" s="80"/>
      <c r="E8" s="80"/>
      <c r="F8" s="80"/>
      <c r="G8" s="80"/>
      <c r="H8" s="80"/>
      <c r="I8" s="80"/>
      <c r="J8" s="80"/>
      <c r="K8" s="80"/>
      <c r="L8" s="80"/>
      <c r="M8" s="80"/>
      <c r="N8" s="80"/>
      <c r="O8" s="80"/>
    </row>
    <row r="9" spans="1:15" x14ac:dyDescent="0.3">
      <c r="A9" s="80"/>
      <c r="B9" s="80"/>
      <c r="C9" s="80"/>
      <c r="D9" s="80"/>
      <c r="E9" s="80"/>
      <c r="F9" s="80"/>
      <c r="G9" s="80"/>
      <c r="H9" s="80"/>
      <c r="I9" s="80"/>
      <c r="J9" s="80"/>
      <c r="K9" s="80"/>
      <c r="L9" s="80"/>
      <c r="M9" s="80"/>
      <c r="N9" s="80"/>
      <c r="O9" s="80"/>
    </row>
    <row r="11" spans="1:15" ht="33.6" customHeight="1" x14ac:dyDescent="0.3">
      <c r="A11" s="9" t="s">
        <v>47</v>
      </c>
      <c r="B11" s="98" t="s">
        <v>52</v>
      </c>
      <c r="C11" s="98"/>
      <c r="D11" s="98"/>
      <c r="E11" s="99" t="s">
        <v>53</v>
      </c>
      <c r="F11" s="100"/>
      <c r="G11" s="101"/>
      <c r="H11" s="99" t="s">
        <v>54</v>
      </c>
      <c r="I11" s="100"/>
      <c r="J11" s="101"/>
    </row>
    <row r="12" spans="1:15" x14ac:dyDescent="0.3">
      <c r="A12" s="9" t="s">
        <v>48</v>
      </c>
      <c r="B12" s="9" t="s">
        <v>55</v>
      </c>
      <c r="C12" s="9" t="s">
        <v>56</v>
      </c>
      <c r="D12" s="9" t="s">
        <v>57</v>
      </c>
      <c r="E12" s="9" t="s">
        <v>55</v>
      </c>
      <c r="F12" s="9" t="s">
        <v>56</v>
      </c>
      <c r="G12" s="9" t="s">
        <v>57</v>
      </c>
      <c r="H12" s="9" t="s">
        <v>55</v>
      </c>
      <c r="I12" s="9" t="s">
        <v>56</v>
      </c>
      <c r="J12" s="9" t="s">
        <v>57</v>
      </c>
    </row>
    <row r="13" spans="1:15" ht="28.8" x14ac:dyDescent="0.3">
      <c r="A13" s="13" t="s">
        <v>49</v>
      </c>
      <c r="B13" s="9">
        <v>110</v>
      </c>
      <c r="C13" s="9">
        <v>450</v>
      </c>
      <c r="D13" s="9">
        <v>350</v>
      </c>
      <c r="E13" s="9">
        <v>150</v>
      </c>
      <c r="F13" s="9">
        <v>400</v>
      </c>
      <c r="G13" s="9">
        <v>350</v>
      </c>
      <c r="H13" s="9">
        <v>100</v>
      </c>
      <c r="I13" s="9">
        <v>350</v>
      </c>
      <c r="J13" s="9">
        <v>300</v>
      </c>
    </row>
    <row r="14" spans="1:15" ht="43.2" x14ac:dyDescent="0.3">
      <c r="A14" s="14" t="s">
        <v>50</v>
      </c>
      <c r="B14" s="9">
        <v>8</v>
      </c>
      <c r="C14" s="9">
        <v>12</v>
      </c>
      <c r="D14" s="9">
        <v>7</v>
      </c>
      <c r="E14" s="9">
        <v>6</v>
      </c>
      <c r="F14" s="9">
        <v>10</v>
      </c>
      <c r="G14" s="9">
        <v>5</v>
      </c>
      <c r="H14" s="9">
        <v>10</v>
      </c>
      <c r="I14" s="9">
        <v>12</v>
      </c>
      <c r="J14" s="9">
        <v>8</v>
      </c>
    </row>
    <row r="15" spans="1:15" ht="28.8" x14ac:dyDescent="0.3">
      <c r="A15" s="14" t="s">
        <v>51</v>
      </c>
      <c r="B15" s="9">
        <v>40</v>
      </c>
      <c r="C15" s="9">
        <v>60</v>
      </c>
      <c r="D15" s="9">
        <v>50</v>
      </c>
      <c r="E15" s="9">
        <v>30</v>
      </c>
      <c r="F15" s="9">
        <v>60</v>
      </c>
      <c r="G15" s="9">
        <v>50</v>
      </c>
      <c r="H15" s="9">
        <v>20</v>
      </c>
      <c r="I15" s="9">
        <v>40</v>
      </c>
      <c r="J15" s="9">
        <v>40</v>
      </c>
    </row>
    <row r="16" spans="1:15" x14ac:dyDescent="0.3">
      <c r="B16" s="86"/>
      <c r="C16" s="86"/>
      <c r="D16" s="86"/>
      <c r="E16" s="86"/>
      <c r="F16" s="86"/>
      <c r="G16" s="86"/>
      <c r="H16" s="86"/>
      <c r="I16" s="86"/>
      <c r="J16" s="86"/>
    </row>
    <row r="17" spans="1:19" x14ac:dyDescent="0.3">
      <c r="A17" s="1"/>
      <c r="B17" s="79" t="s">
        <v>18</v>
      </c>
      <c r="C17" s="79"/>
      <c r="D17" s="79"/>
      <c r="E17" s="79" t="s">
        <v>19</v>
      </c>
      <c r="F17" s="79"/>
      <c r="G17" s="79"/>
      <c r="H17" s="79" t="s">
        <v>20</v>
      </c>
      <c r="I17" s="79"/>
      <c r="J17" s="79"/>
      <c r="K17" s="1" t="s">
        <v>58</v>
      </c>
      <c r="M17" s="1" t="s">
        <v>22</v>
      </c>
      <c r="N17" s="2">
        <f>POWER(PRODUCT(B18:K18),1/4)</f>
        <v>3.4820045452270936</v>
      </c>
      <c r="P17" s="1" t="s">
        <v>39</v>
      </c>
      <c r="Q17" s="2">
        <f>N17/N21</f>
        <v>0.59307354180632232</v>
      </c>
    </row>
    <row r="18" spans="1:19" x14ac:dyDescent="0.3">
      <c r="A18" s="1" t="s">
        <v>18</v>
      </c>
      <c r="B18" s="88">
        <v>1</v>
      </c>
      <c r="C18" s="88"/>
      <c r="D18" s="88"/>
      <c r="E18" s="88">
        <v>3</v>
      </c>
      <c r="F18" s="88"/>
      <c r="G18" s="88"/>
      <c r="H18" s="88">
        <v>7</v>
      </c>
      <c r="I18" s="88"/>
      <c r="J18" s="88"/>
      <c r="K18" s="2">
        <v>7</v>
      </c>
      <c r="M18" s="1" t="s">
        <v>23</v>
      </c>
      <c r="N18" s="2">
        <f>POWER(PRODUCT(B19:K19),1/4)</f>
        <v>1.5196713713031851</v>
      </c>
      <c r="P18" s="1" t="s">
        <v>40</v>
      </c>
      <c r="Q18" s="2">
        <f>N18/N21</f>
        <v>0.25883851409552661</v>
      </c>
    </row>
    <row r="19" spans="1:19" x14ac:dyDescent="0.3">
      <c r="A19" s="1" t="s">
        <v>19</v>
      </c>
      <c r="B19" s="95">
        <v>0.33333333333333331</v>
      </c>
      <c r="C19" s="96"/>
      <c r="D19" s="96"/>
      <c r="E19" s="88">
        <v>1</v>
      </c>
      <c r="F19" s="88"/>
      <c r="G19" s="88"/>
      <c r="H19" s="88">
        <v>4</v>
      </c>
      <c r="I19" s="88"/>
      <c r="J19" s="88"/>
      <c r="K19" s="2">
        <v>4</v>
      </c>
      <c r="M19" s="1" t="s">
        <v>24</v>
      </c>
      <c r="N19" s="2">
        <f>POWER(PRODUCT(B20:K20),1/4)</f>
        <v>0.43472087194499143</v>
      </c>
      <c r="P19" s="1" t="s">
        <v>41</v>
      </c>
      <c r="Q19" s="2">
        <f>N19/N21</f>
        <v>7.4043972049075507E-2</v>
      </c>
    </row>
    <row r="20" spans="1:19" x14ac:dyDescent="0.3">
      <c r="A20" s="1" t="s">
        <v>20</v>
      </c>
      <c r="B20" s="95">
        <v>0.14285714285714285</v>
      </c>
      <c r="C20" s="96"/>
      <c r="D20" s="96"/>
      <c r="E20" s="95">
        <v>0.25</v>
      </c>
      <c r="F20" s="96"/>
      <c r="G20" s="96"/>
      <c r="H20" s="88">
        <v>1</v>
      </c>
      <c r="I20" s="88"/>
      <c r="J20" s="88"/>
      <c r="K20" s="2">
        <v>1</v>
      </c>
      <c r="M20" s="1" t="s">
        <v>28</v>
      </c>
      <c r="N20" s="2">
        <f t="shared" ref="N20" si="0">POWER(PRODUCT(B21:K21),1/4)</f>
        <v>0.43472087194499143</v>
      </c>
      <c r="P20" s="1" t="s">
        <v>60</v>
      </c>
      <c r="Q20" s="2">
        <f>N20/N21</f>
        <v>7.4043972049075507E-2</v>
      </c>
    </row>
    <row r="21" spans="1:19" x14ac:dyDescent="0.3">
      <c r="A21" s="1" t="s">
        <v>58</v>
      </c>
      <c r="B21" s="95">
        <v>0.14285714285714285</v>
      </c>
      <c r="C21" s="96"/>
      <c r="D21" s="96"/>
      <c r="E21" s="95">
        <v>0.25</v>
      </c>
      <c r="F21" s="96"/>
      <c r="G21" s="96"/>
      <c r="H21" s="88">
        <v>1</v>
      </c>
      <c r="I21" s="88"/>
      <c r="J21" s="88"/>
      <c r="K21" s="2">
        <v>1</v>
      </c>
      <c r="M21" s="1" t="s">
        <v>25</v>
      </c>
      <c r="N21" s="2">
        <f>SUM(N17:N20)</f>
        <v>5.8711176604202615</v>
      </c>
    </row>
    <row r="22" spans="1:19" x14ac:dyDescent="0.3">
      <c r="B22" s="86"/>
      <c r="C22" s="86"/>
      <c r="D22" s="86"/>
      <c r="E22" s="86"/>
      <c r="F22" s="86"/>
      <c r="G22" s="86"/>
      <c r="H22" s="86"/>
      <c r="I22" s="86"/>
      <c r="J22" s="86"/>
    </row>
    <row r="23" spans="1:19" x14ac:dyDescent="0.3">
      <c r="A23" s="18" t="s">
        <v>61</v>
      </c>
      <c r="B23" s="86"/>
      <c r="C23" s="86"/>
      <c r="D23" s="86"/>
      <c r="E23" s="86"/>
      <c r="F23" s="86"/>
      <c r="G23" s="86"/>
      <c r="H23" s="86"/>
      <c r="I23" s="86"/>
      <c r="J23" s="86"/>
    </row>
    <row r="24" spans="1:19" x14ac:dyDescent="0.3">
      <c r="B24" s="86"/>
      <c r="C24" s="86"/>
      <c r="D24" s="86"/>
      <c r="E24" s="86"/>
      <c r="F24" s="86"/>
      <c r="G24" s="86"/>
      <c r="H24" s="86"/>
      <c r="I24" s="86"/>
      <c r="J24" s="86"/>
    </row>
    <row r="25" spans="1:19" x14ac:dyDescent="0.3">
      <c r="A25" s="1"/>
      <c r="B25" s="79" t="s">
        <v>55</v>
      </c>
      <c r="C25" s="79"/>
      <c r="D25" s="79"/>
      <c r="E25" s="79" t="s">
        <v>56</v>
      </c>
      <c r="F25" s="79"/>
      <c r="G25" s="79"/>
      <c r="H25" s="79" t="s">
        <v>57</v>
      </c>
      <c r="I25" s="79"/>
      <c r="J25" s="79"/>
      <c r="L25" s="1" t="s">
        <v>22</v>
      </c>
      <c r="M25" s="2">
        <f>POWER(PRODUCT(B26:J26),1/3)</f>
        <v>0.32931687800417481</v>
      </c>
      <c r="O25" s="1" t="s">
        <v>62</v>
      </c>
      <c r="P25" s="2">
        <f>M25/M28</f>
        <v>7.8616863015871827E-2</v>
      </c>
      <c r="R25" s="1" t="s">
        <v>76</v>
      </c>
      <c r="S25" s="2">
        <f>P25*Q17+P30*Q18+P35*Q19+P40*Q20</f>
        <v>0.10913850390719426</v>
      </c>
    </row>
    <row r="26" spans="1:19" x14ac:dyDescent="0.3">
      <c r="A26" s="1" t="s">
        <v>55</v>
      </c>
      <c r="B26" s="88">
        <v>1</v>
      </c>
      <c r="C26" s="88"/>
      <c r="D26" s="88"/>
      <c r="E26" s="91">
        <v>0.14285714285714285</v>
      </c>
      <c r="F26" s="92"/>
      <c r="G26" s="92"/>
      <c r="H26" s="91">
        <v>0.25</v>
      </c>
      <c r="I26" s="92"/>
      <c r="J26" s="92"/>
      <c r="L26" s="1" t="s">
        <v>23</v>
      </c>
      <c r="M26" s="2">
        <f>POWER(PRODUCT(B27:J27),1/3)</f>
        <v>2.7589241763811208</v>
      </c>
      <c r="O26" s="1" t="s">
        <v>65</v>
      </c>
      <c r="P26" s="2">
        <f>M26/M28</f>
        <v>0.65862996564355236</v>
      </c>
      <c r="R26" s="1" t="s">
        <v>77</v>
      </c>
      <c r="S26" s="2">
        <f>P26*Q17+P31*Q18+P36*Q19+P41*Q20</f>
        <v>0.68099976302492959</v>
      </c>
    </row>
    <row r="27" spans="1:19" x14ac:dyDescent="0.3">
      <c r="A27" s="1" t="s">
        <v>56</v>
      </c>
      <c r="B27" s="88">
        <v>7</v>
      </c>
      <c r="C27" s="88"/>
      <c r="D27" s="88"/>
      <c r="E27" s="88">
        <v>1</v>
      </c>
      <c r="F27" s="88"/>
      <c r="G27" s="88"/>
      <c r="H27" s="88">
        <v>3</v>
      </c>
      <c r="I27" s="88"/>
      <c r="J27" s="88"/>
      <c r="L27" s="1" t="s">
        <v>24</v>
      </c>
      <c r="M27" s="2">
        <f t="shared" ref="M27" si="1">POWER(PRODUCT(B28:J28),1/3)</f>
        <v>1.1006424162982089</v>
      </c>
      <c r="O27" s="1" t="s">
        <v>66</v>
      </c>
      <c r="P27" s="2">
        <f>M27/M28</f>
        <v>0.26275317134057585</v>
      </c>
      <c r="R27" s="1" t="s">
        <v>78</v>
      </c>
      <c r="S27" s="2">
        <f>P27*Q17+P32*Q18+P37*Q19+P42*Q20</f>
        <v>0.20986173306787598</v>
      </c>
    </row>
    <row r="28" spans="1:19" x14ac:dyDescent="0.3">
      <c r="A28" s="1" t="s">
        <v>57</v>
      </c>
      <c r="B28" s="88">
        <v>4</v>
      </c>
      <c r="C28" s="88"/>
      <c r="D28" s="88"/>
      <c r="E28" s="91">
        <v>0.33333333333333331</v>
      </c>
      <c r="F28" s="92"/>
      <c r="G28" s="92"/>
      <c r="H28" s="88">
        <v>1</v>
      </c>
      <c r="I28" s="88"/>
      <c r="J28" s="88"/>
      <c r="L28" s="1" t="s">
        <v>25</v>
      </c>
      <c r="M28" s="2">
        <f>SUM(M25:M27)</f>
        <v>4.1888834706835043</v>
      </c>
    </row>
    <row r="29" spans="1:19" x14ac:dyDescent="0.3">
      <c r="B29" s="86"/>
      <c r="C29" s="86"/>
      <c r="D29" s="86"/>
      <c r="E29" s="86"/>
      <c r="F29" s="86"/>
      <c r="G29" s="86"/>
      <c r="H29" s="86"/>
      <c r="I29" s="86"/>
      <c r="J29" s="86"/>
    </row>
    <row r="30" spans="1:19" x14ac:dyDescent="0.3">
      <c r="A30" s="1"/>
      <c r="B30" s="79" t="s">
        <v>55</v>
      </c>
      <c r="C30" s="79"/>
      <c r="D30" s="79"/>
      <c r="E30" s="79" t="s">
        <v>56</v>
      </c>
      <c r="F30" s="79"/>
      <c r="G30" s="79"/>
      <c r="H30" s="79" t="s">
        <v>57</v>
      </c>
      <c r="I30" s="79"/>
      <c r="J30" s="79"/>
      <c r="L30" s="1" t="s">
        <v>22</v>
      </c>
      <c r="M30" s="2">
        <f>POWER(PRODUCT(B31:J31),1/3)</f>
        <v>0.84343266530174932</v>
      </c>
      <c r="O30" s="1" t="s">
        <v>67</v>
      </c>
      <c r="P30" s="2">
        <f>M30/M33</f>
        <v>0.18839409663911982</v>
      </c>
    </row>
    <row r="31" spans="1:19" x14ac:dyDescent="0.3">
      <c r="A31" s="1" t="s">
        <v>55</v>
      </c>
      <c r="B31" s="89">
        <v>1</v>
      </c>
      <c r="C31" s="89"/>
      <c r="D31" s="89"/>
      <c r="E31" s="91">
        <v>0.2</v>
      </c>
      <c r="F31" s="92"/>
      <c r="G31" s="92"/>
      <c r="H31" s="89">
        <v>3</v>
      </c>
      <c r="I31" s="89"/>
      <c r="J31" s="89"/>
      <c r="L31" s="1" t="s">
        <v>23</v>
      </c>
      <c r="M31" s="2">
        <f>POWER(PRODUCT(B32:J32),1/3)</f>
        <v>3.2710663101885888</v>
      </c>
      <c r="O31" s="1" t="s">
        <v>63</v>
      </c>
      <c r="P31" s="2">
        <f>M31/M33</f>
        <v>0.73064467136112943</v>
      </c>
    </row>
    <row r="32" spans="1:19" x14ac:dyDescent="0.3">
      <c r="A32" s="1" t="s">
        <v>56</v>
      </c>
      <c r="B32" s="89">
        <v>5</v>
      </c>
      <c r="C32" s="89"/>
      <c r="D32" s="89"/>
      <c r="E32" s="89">
        <v>1</v>
      </c>
      <c r="F32" s="89"/>
      <c r="G32" s="89"/>
      <c r="H32" s="89">
        <v>7</v>
      </c>
      <c r="I32" s="89"/>
      <c r="J32" s="89"/>
      <c r="L32" s="1" t="s">
        <v>24</v>
      </c>
      <c r="M32" s="2">
        <f t="shared" ref="M32" si="2">POWER(PRODUCT(B33:J33),1/3)</f>
        <v>0.36246012433429736</v>
      </c>
      <c r="O32" s="1" t="s">
        <v>68</v>
      </c>
      <c r="P32" s="2">
        <f>M32/M33</f>
        <v>8.0961231999750694E-2</v>
      </c>
    </row>
    <row r="33" spans="1:19" x14ac:dyDescent="0.3">
      <c r="A33" s="1" t="s">
        <v>57</v>
      </c>
      <c r="B33" s="91">
        <v>0.33333333333333331</v>
      </c>
      <c r="C33" s="92"/>
      <c r="D33" s="92"/>
      <c r="E33" s="91">
        <v>0.14285714285714285</v>
      </c>
      <c r="F33" s="92"/>
      <c r="G33" s="92"/>
      <c r="H33" s="89">
        <v>1</v>
      </c>
      <c r="I33" s="89"/>
      <c r="J33" s="89"/>
      <c r="L33" s="1" t="s">
        <v>25</v>
      </c>
      <c r="M33" s="2">
        <f>SUM(M30:M32)</f>
        <v>4.4769590998246356</v>
      </c>
    </row>
    <row r="34" spans="1:19" x14ac:dyDescent="0.3">
      <c r="B34" s="86"/>
      <c r="C34" s="86"/>
      <c r="D34" s="86"/>
      <c r="E34" s="86"/>
      <c r="F34" s="86"/>
      <c r="G34" s="86"/>
      <c r="H34" s="86"/>
      <c r="I34" s="86"/>
      <c r="J34" s="86"/>
    </row>
    <row r="35" spans="1:19" x14ac:dyDescent="0.3">
      <c r="A35" s="1"/>
      <c r="B35" s="79" t="s">
        <v>55</v>
      </c>
      <c r="C35" s="79"/>
      <c r="D35" s="79"/>
      <c r="E35" s="79" t="s">
        <v>56</v>
      </c>
      <c r="F35" s="79"/>
      <c r="G35" s="79"/>
      <c r="H35" s="79" t="s">
        <v>57</v>
      </c>
      <c r="I35" s="79"/>
      <c r="J35" s="79"/>
      <c r="L35" s="1" t="s">
        <v>22</v>
      </c>
      <c r="M35" s="2">
        <f>POWER(PRODUCT(B36:J36),1/3)</f>
        <v>0.40548013303822666</v>
      </c>
      <c r="O35" s="1" t="s">
        <v>69</v>
      </c>
      <c r="P35" s="2">
        <f>M35/M38</f>
        <v>0.10472943388074786</v>
      </c>
    </row>
    <row r="36" spans="1:19" x14ac:dyDescent="0.3">
      <c r="A36" s="1" t="s">
        <v>55</v>
      </c>
      <c r="B36" s="89">
        <v>1</v>
      </c>
      <c r="C36" s="89"/>
      <c r="D36" s="89"/>
      <c r="E36" s="91">
        <v>0.2</v>
      </c>
      <c r="F36" s="92"/>
      <c r="G36" s="92"/>
      <c r="H36" s="91">
        <v>0.33333333333333331</v>
      </c>
      <c r="I36" s="92"/>
      <c r="J36" s="92"/>
      <c r="L36" s="1" t="s">
        <v>23</v>
      </c>
      <c r="M36" s="2">
        <f>POWER(PRODUCT(B37:J37),1/3)</f>
        <v>2.4662120743304703</v>
      </c>
      <c r="O36" s="1" t="s">
        <v>70</v>
      </c>
      <c r="P36" s="2">
        <f>M36/M38</f>
        <v>0.63698557174475723</v>
      </c>
    </row>
    <row r="37" spans="1:19" x14ac:dyDescent="0.3">
      <c r="A37" s="1" t="s">
        <v>56</v>
      </c>
      <c r="B37" s="89">
        <v>5</v>
      </c>
      <c r="C37" s="89"/>
      <c r="D37" s="89"/>
      <c r="E37" s="89">
        <v>1</v>
      </c>
      <c r="F37" s="89"/>
      <c r="G37" s="89"/>
      <c r="H37" s="89">
        <v>3</v>
      </c>
      <c r="I37" s="89"/>
      <c r="J37" s="89"/>
      <c r="L37" s="1" t="s">
        <v>24</v>
      </c>
      <c r="M37" s="2">
        <f>POWER(PRODUCT(B38:J38),1/3)</f>
        <v>1</v>
      </c>
      <c r="O37" s="1" t="s">
        <v>64</v>
      </c>
      <c r="P37" s="2">
        <f>M37/M38</f>
        <v>0.25828499437449498</v>
      </c>
    </row>
    <row r="38" spans="1:19" x14ac:dyDescent="0.3">
      <c r="A38" s="1" t="s">
        <v>57</v>
      </c>
      <c r="B38" s="89">
        <v>3</v>
      </c>
      <c r="C38" s="89"/>
      <c r="D38" s="89"/>
      <c r="E38" s="91">
        <v>0.33333333333333331</v>
      </c>
      <c r="F38" s="92"/>
      <c r="G38" s="92"/>
      <c r="H38" s="89">
        <v>1</v>
      </c>
      <c r="I38" s="89"/>
      <c r="J38" s="89"/>
      <c r="L38" s="1" t="s">
        <v>25</v>
      </c>
      <c r="M38" s="2">
        <f>SUM(M35:M37)</f>
        <v>3.8716922073686968</v>
      </c>
    </row>
    <row r="39" spans="1:19" x14ac:dyDescent="0.3">
      <c r="B39" s="86"/>
      <c r="C39" s="86"/>
      <c r="D39" s="86"/>
      <c r="E39" s="86"/>
      <c r="F39" s="86"/>
      <c r="G39" s="86"/>
      <c r="H39" s="86"/>
      <c r="I39" s="86"/>
      <c r="J39" s="86"/>
    </row>
    <row r="40" spans="1:19" x14ac:dyDescent="0.3">
      <c r="A40" s="1"/>
      <c r="B40" s="79" t="s">
        <v>55</v>
      </c>
      <c r="C40" s="79"/>
      <c r="D40" s="79"/>
      <c r="E40" s="79" t="s">
        <v>56</v>
      </c>
      <c r="F40" s="79"/>
      <c r="G40" s="79"/>
      <c r="H40" s="79" t="s">
        <v>57</v>
      </c>
      <c r="I40" s="79"/>
      <c r="J40" s="79"/>
      <c r="L40" s="1" t="s">
        <v>22</v>
      </c>
      <c r="M40" s="2">
        <f>POWER(PRODUCT(B41:J41),1/3)</f>
        <v>0.36246012433429736</v>
      </c>
      <c r="O40" s="1" t="s">
        <v>71</v>
      </c>
      <c r="P40" s="2">
        <f>M40/M43</f>
        <v>8.0961231999750694E-2</v>
      </c>
    </row>
    <row r="41" spans="1:19" x14ac:dyDescent="0.3">
      <c r="A41" s="1" t="s">
        <v>55</v>
      </c>
      <c r="B41" s="89">
        <v>1</v>
      </c>
      <c r="C41" s="89"/>
      <c r="D41" s="89"/>
      <c r="E41" s="91">
        <v>0.14285714285714285</v>
      </c>
      <c r="F41" s="92"/>
      <c r="G41" s="92"/>
      <c r="H41" s="91">
        <v>0.33333333333333331</v>
      </c>
      <c r="I41" s="92"/>
      <c r="J41" s="92"/>
      <c r="L41" s="1" t="s">
        <v>23</v>
      </c>
      <c r="M41" s="2">
        <f>POWER(PRODUCT(B42:J42),1/3)</f>
        <v>3.2710663101885888</v>
      </c>
      <c r="O41" s="1" t="s">
        <v>72</v>
      </c>
      <c r="P41" s="2">
        <f>M41/M43</f>
        <v>0.73064467136112943</v>
      </c>
    </row>
    <row r="42" spans="1:19" x14ac:dyDescent="0.3">
      <c r="A42" s="1" t="s">
        <v>56</v>
      </c>
      <c r="B42" s="89">
        <v>7</v>
      </c>
      <c r="C42" s="89"/>
      <c r="D42" s="89"/>
      <c r="E42" s="89">
        <v>1</v>
      </c>
      <c r="F42" s="89"/>
      <c r="G42" s="89"/>
      <c r="H42" s="89">
        <v>5</v>
      </c>
      <c r="I42" s="89"/>
      <c r="J42" s="89"/>
      <c r="L42" s="1" t="s">
        <v>24</v>
      </c>
      <c r="M42" s="2">
        <f t="shared" ref="M42" si="3">POWER(PRODUCT(B43:J43),1/3)</f>
        <v>0.84343266530174932</v>
      </c>
      <c r="O42" s="1" t="s">
        <v>73</v>
      </c>
      <c r="P42" s="2">
        <f>M42/M43</f>
        <v>0.18839409663911982</v>
      </c>
    </row>
    <row r="43" spans="1:19" x14ac:dyDescent="0.3">
      <c r="A43" s="1" t="s">
        <v>57</v>
      </c>
      <c r="B43" s="89">
        <v>3</v>
      </c>
      <c r="C43" s="89"/>
      <c r="D43" s="89"/>
      <c r="E43" s="91">
        <v>0.2</v>
      </c>
      <c r="F43" s="92"/>
      <c r="G43" s="92"/>
      <c r="H43" s="89">
        <v>1</v>
      </c>
      <c r="I43" s="89"/>
      <c r="J43" s="89"/>
      <c r="L43" s="1" t="s">
        <v>25</v>
      </c>
      <c r="M43" s="2">
        <f>SUM(M40:M42)</f>
        <v>4.4769590998246356</v>
      </c>
    </row>
    <row r="44" spans="1:19" x14ac:dyDescent="0.3">
      <c r="B44" s="86"/>
      <c r="C44" s="86"/>
      <c r="D44" s="86"/>
      <c r="E44" s="86"/>
      <c r="F44" s="86"/>
      <c r="G44" s="86"/>
      <c r="H44" s="86"/>
      <c r="I44" s="86"/>
      <c r="J44" s="86"/>
    </row>
    <row r="45" spans="1:19" x14ac:dyDescent="0.3">
      <c r="A45" s="19" t="s">
        <v>74</v>
      </c>
      <c r="B45" s="86"/>
      <c r="C45" s="86"/>
      <c r="D45" s="86"/>
      <c r="E45" s="86"/>
      <c r="F45" s="86"/>
      <c r="G45" s="86"/>
      <c r="H45" s="86"/>
      <c r="I45" s="86"/>
      <c r="J45" s="86"/>
    </row>
    <row r="46" spans="1:19" x14ac:dyDescent="0.3">
      <c r="B46" s="86"/>
      <c r="C46" s="86"/>
      <c r="D46" s="86"/>
      <c r="E46" s="86"/>
      <c r="F46" s="86"/>
      <c r="G46" s="86"/>
      <c r="H46" s="86"/>
      <c r="I46" s="86"/>
      <c r="J46" s="86"/>
    </row>
    <row r="47" spans="1:19" x14ac:dyDescent="0.3">
      <c r="A47" s="1"/>
      <c r="B47" s="79" t="s">
        <v>55</v>
      </c>
      <c r="C47" s="79"/>
      <c r="D47" s="79"/>
      <c r="E47" s="79" t="s">
        <v>56</v>
      </c>
      <c r="F47" s="79"/>
      <c r="G47" s="79"/>
      <c r="H47" s="79" t="s">
        <v>57</v>
      </c>
      <c r="I47" s="79"/>
      <c r="J47" s="79"/>
      <c r="L47" s="1" t="s">
        <v>22</v>
      </c>
      <c r="M47" s="2">
        <f>POWER(PRODUCT(B48:J48),1/3)</f>
        <v>0.38157141418444396</v>
      </c>
      <c r="O47" s="1" t="s">
        <v>62</v>
      </c>
      <c r="P47" s="2">
        <f>M47/M50</f>
        <v>0.1</v>
      </c>
      <c r="R47" s="1" t="s">
        <v>76</v>
      </c>
      <c r="S47" s="2">
        <f>P47*Q17+P52*Q18+P57*Q19+P62*Q20</f>
        <v>0.12407974347725111</v>
      </c>
    </row>
    <row r="48" spans="1:19" x14ac:dyDescent="0.3">
      <c r="A48" s="1" t="s">
        <v>55</v>
      </c>
      <c r="B48" s="93">
        <v>1</v>
      </c>
      <c r="C48" s="93"/>
      <c r="D48" s="93"/>
      <c r="E48" s="91">
        <v>0.16666666666666666</v>
      </c>
      <c r="F48" s="92"/>
      <c r="G48" s="92"/>
      <c r="H48" s="91">
        <v>0.33333333333333331</v>
      </c>
      <c r="I48" s="92"/>
      <c r="J48" s="92"/>
      <c r="L48" s="1" t="s">
        <v>23</v>
      </c>
      <c r="M48" s="2">
        <f>POWER(PRODUCT(B49:J49),1/3)</f>
        <v>2.2894284851066637</v>
      </c>
      <c r="O48" s="1" t="s">
        <v>65</v>
      </c>
      <c r="P48" s="2">
        <f>M48/M50</f>
        <v>0.60000000000000009</v>
      </c>
      <c r="R48" s="1" t="s">
        <v>77</v>
      </c>
      <c r="S48" s="2">
        <f>P48*Q17+P53*Q18+P58*Q19+P63*Q20</f>
        <v>0.63530328021561788</v>
      </c>
    </row>
    <row r="49" spans="1:19" x14ac:dyDescent="0.3">
      <c r="A49" s="1" t="s">
        <v>56</v>
      </c>
      <c r="B49" s="93">
        <v>6</v>
      </c>
      <c r="C49" s="93"/>
      <c r="D49" s="93"/>
      <c r="E49" s="93">
        <v>1</v>
      </c>
      <c r="F49" s="93"/>
      <c r="G49" s="93"/>
      <c r="H49" s="93">
        <v>2</v>
      </c>
      <c r="I49" s="93"/>
      <c r="J49" s="93"/>
      <c r="L49" s="1" t="s">
        <v>24</v>
      </c>
      <c r="M49" s="2">
        <f t="shared" ref="M49" si="4">POWER(PRODUCT(B50:J50),1/3)</f>
        <v>1.1447142425533319</v>
      </c>
      <c r="O49" s="1" t="s">
        <v>66</v>
      </c>
      <c r="P49" s="2">
        <f>M49/M50</f>
        <v>0.30000000000000004</v>
      </c>
      <c r="R49" s="1" t="s">
        <v>78</v>
      </c>
      <c r="S49" s="2">
        <f>P49*Q17+P54*Q18+P59*Q19+P64*Q20</f>
        <v>0.24061697630713108</v>
      </c>
    </row>
    <row r="50" spans="1:19" x14ac:dyDescent="0.3">
      <c r="A50" s="1" t="s">
        <v>57</v>
      </c>
      <c r="B50" s="93">
        <v>3</v>
      </c>
      <c r="C50" s="93"/>
      <c r="D50" s="93"/>
      <c r="E50" s="91">
        <v>0.5</v>
      </c>
      <c r="F50" s="92"/>
      <c r="G50" s="92"/>
      <c r="H50" s="93">
        <v>1</v>
      </c>
      <c r="I50" s="93"/>
      <c r="J50" s="93"/>
      <c r="L50" s="1" t="s">
        <v>25</v>
      </c>
      <c r="M50" s="2">
        <f>SUM(M47:M49)</f>
        <v>3.8157141418444391</v>
      </c>
    </row>
    <row r="51" spans="1:19" x14ac:dyDescent="0.3">
      <c r="B51" s="86"/>
      <c r="C51" s="86"/>
      <c r="D51" s="86"/>
      <c r="E51" s="86"/>
      <c r="F51" s="86"/>
      <c r="G51" s="86"/>
      <c r="H51" s="86"/>
      <c r="I51" s="86"/>
      <c r="J51" s="86"/>
    </row>
    <row r="52" spans="1:19" x14ac:dyDescent="0.3">
      <c r="A52" s="1"/>
      <c r="B52" s="79" t="s">
        <v>55</v>
      </c>
      <c r="C52" s="79"/>
      <c r="D52" s="79"/>
      <c r="E52" s="79" t="s">
        <v>56</v>
      </c>
      <c r="F52" s="79"/>
      <c r="G52" s="79"/>
      <c r="H52" s="79" t="s">
        <v>57</v>
      </c>
      <c r="I52" s="79"/>
      <c r="J52" s="79"/>
      <c r="L52" s="1" t="s">
        <v>22</v>
      </c>
      <c r="M52" s="2">
        <f>POWER(PRODUCT(B53:J53),1/3)</f>
        <v>0.79370052598409979</v>
      </c>
      <c r="O52" s="1" t="s">
        <v>67</v>
      </c>
      <c r="P52" s="2">
        <f>M52/M55</f>
        <v>0.19980996310201243</v>
      </c>
    </row>
    <row r="53" spans="1:19" x14ac:dyDescent="0.3">
      <c r="A53" s="1" t="s">
        <v>55</v>
      </c>
      <c r="B53" s="89">
        <v>1</v>
      </c>
      <c r="C53" s="89"/>
      <c r="D53" s="89"/>
      <c r="E53" s="91">
        <v>0.25</v>
      </c>
      <c r="F53" s="92"/>
      <c r="G53" s="92"/>
      <c r="H53" s="89">
        <v>2</v>
      </c>
      <c r="I53" s="89"/>
      <c r="J53" s="89"/>
      <c r="L53" s="1" t="s">
        <v>23</v>
      </c>
      <c r="M53" s="2">
        <f>POWER(PRODUCT(B54:J54),1/3)</f>
        <v>2.7144176165949063</v>
      </c>
      <c r="O53" s="1" t="s">
        <v>63</v>
      </c>
      <c r="P53" s="2">
        <f>M53/M55</f>
        <v>0.68334046162159912</v>
      </c>
    </row>
    <row r="54" spans="1:19" x14ac:dyDescent="0.3">
      <c r="A54" s="1" t="s">
        <v>56</v>
      </c>
      <c r="B54" s="89">
        <v>4</v>
      </c>
      <c r="C54" s="89"/>
      <c r="D54" s="89"/>
      <c r="E54" s="89">
        <v>1</v>
      </c>
      <c r="F54" s="89"/>
      <c r="G54" s="89"/>
      <c r="H54" s="89">
        <v>5</v>
      </c>
      <c r="I54" s="89"/>
      <c r="J54" s="89"/>
      <c r="L54" s="1" t="s">
        <v>24</v>
      </c>
      <c r="M54" s="2">
        <f t="shared" ref="M54" si="5">POWER(PRODUCT(B55:J55),1/3)</f>
        <v>0.46415888336127797</v>
      </c>
      <c r="O54" s="1" t="s">
        <v>68</v>
      </c>
      <c r="P54" s="2">
        <f>M54/M55</f>
        <v>0.11684957527638853</v>
      </c>
    </row>
    <row r="55" spans="1:19" x14ac:dyDescent="0.3">
      <c r="A55" s="1" t="s">
        <v>57</v>
      </c>
      <c r="B55" s="91">
        <v>0.5</v>
      </c>
      <c r="C55" s="92"/>
      <c r="D55" s="92"/>
      <c r="E55" s="91">
        <v>0.2</v>
      </c>
      <c r="F55" s="92"/>
      <c r="G55" s="92"/>
      <c r="H55" s="89">
        <v>1</v>
      </c>
      <c r="I55" s="89"/>
      <c r="J55" s="89"/>
      <c r="L55" s="1" t="s">
        <v>25</v>
      </c>
      <c r="M55" s="2">
        <f>SUM(M52:M54)</f>
        <v>3.9722770259402838</v>
      </c>
    </row>
    <row r="56" spans="1:19" x14ac:dyDescent="0.3">
      <c r="B56" s="86"/>
      <c r="C56" s="86"/>
      <c r="D56" s="86"/>
      <c r="E56" s="86"/>
      <c r="F56" s="86"/>
      <c r="G56" s="86"/>
      <c r="H56" s="86"/>
      <c r="I56" s="86"/>
      <c r="J56" s="86"/>
    </row>
    <row r="57" spans="1:19" x14ac:dyDescent="0.3">
      <c r="A57" s="1"/>
      <c r="B57" s="79" t="s">
        <v>55</v>
      </c>
      <c r="C57" s="79"/>
      <c r="D57" s="79"/>
      <c r="E57" s="79" t="s">
        <v>56</v>
      </c>
      <c r="F57" s="79"/>
      <c r="G57" s="79"/>
      <c r="H57" s="79" t="s">
        <v>57</v>
      </c>
      <c r="I57" s="79"/>
      <c r="J57" s="79"/>
      <c r="L57" s="1" t="s">
        <v>22</v>
      </c>
      <c r="M57" s="2">
        <f>POWER(PRODUCT(B58:J58),1/3)</f>
        <v>0.38157141418444396</v>
      </c>
      <c r="O57" s="1" t="s">
        <v>69</v>
      </c>
      <c r="P57" s="2">
        <f>M57/M60</f>
        <v>9.5337729071111571E-2</v>
      </c>
    </row>
    <row r="58" spans="1:19" x14ac:dyDescent="0.3">
      <c r="A58" s="1" t="s">
        <v>55</v>
      </c>
      <c r="B58" s="89">
        <v>1</v>
      </c>
      <c r="C58" s="89"/>
      <c r="D58" s="89"/>
      <c r="E58" s="91">
        <v>0.16666666666666666</v>
      </c>
      <c r="F58" s="92"/>
      <c r="G58" s="92"/>
      <c r="H58" s="91">
        <v>0.33333333333333331</v>
      </c>
      <c r="I58" s="92"/>
      <c r="J58" s="92"/>
      <c r="L58" s="1" t="s">
        <v>23</v>
      </c>
      <c r="M58" s="2">
        <f>POWER(PRODUCT(B59:J59),1/3)</f>
        <v>2.6207413942088964</v>
      </c>
      <c r="O58" s="1" t="s">
        <v>70</v>
      </c>
      <c r="P58" s="2">
        <f>M58/M60</f>
        <v>0.65480673792235344</v>
      </c>
    </row>
    <row r="59" spans="1:19" x14ac:dyDescent="0.3">
      <c r="A59" s="1" t="s">
        <v>56</v>
      </c>
      <c r="B59" s="89">
        <v>6</v>
      </c>
      <c r="C59" s="89"/>
      <c r="D59" s="89"/>
      <c r="E59" s="89">
        <v>1</v>
      </c>
      <c r="F59" s="89"/>
      <c r="G59" s="89"/>
      <c r="H59" s="89">
        <v>3</v>
      </c>
      <c r="I59" s="89"/>
      <c r="J59" s="89"/>
      <c r="L59" s="1" t="s">
        <v>24</v>
      </c>
      <c r="M59" s="2">
        <f>POWER(PRODUCT(B60:J60),1/3)</f>
        <v>1</v>
      </c>
      <c r="O59" s="1" t="s">
        <v>64</v>
      </c>
      <c r="P59" s="2">
        <f>M59/M60</f>
        <v>0.24985553300653499</v>
      </c>
    </row>
    <row r="60" spans="1:19" x14ac:dyDescent="0.3">
      <c r="A60" s="1" t="s">
        <v>57</v>
      </c>
      <c r="B60" s="89">
        <v>3</v>
      </c>
      <c r="C60" s="89"/>
      <c r="D60" s="89"/>
      <c r="E60" s="91">
        <v>0.33333333333333331</v>
      </c>
      <c r="F60" s="92"/>
      <c r="G60" s="92"/>
      <c r="H60" s="89">
        <v>1</v>
      </c>
      <c r="I60" s="89"/>
      <c r="J60" s="89"/>
      <c r="L60" s="1" t="s">
        <v>25</v>
      </c>
      <c r="M60" s="2">
        <f>SUM(M57:M59)</f>
        <v>4.0023128083933406</v>
      </c>
    </row>
    <row r="61" spans="1:19" x14ac:dyDescent="0.3">
      <c r="B61" s="86"/>
      <c r="C61" s="86"/>
      <c r="D61" s="86"/>
      <c r="E61" s="86"/>
      <c r="F61" s="86"/>
      <c r="G61" s="86"/>
      <c r="H61" s="86"/>
      <c r="I61" s="86"/>
      <c r="J61" s="86"/>
    </row>
    <row r="62" spans="1:19" x14ac:dyDescent="0.3">
      <c r="A62" s="1"/>
      <c r="B62" s="79" t="s">
        <v>55</v>
      </c>
      <c r="C62" s="79"/>
      <c r="D62" s="79"/>
      <c r="E62" s="79" t="s">
        <v>56</v>
      </c>
      <c r="F62" s="79"/>
      <c r="G62" s="79"/>
      <c r="H62" s="79" t="s">
        <v>57</v>
      </c>
      <c r="I62" s="79"/>
      <c r="J62" s="79"/>
      <c r="L62" s="1" t="s">
        <v>22</v>
      </c>
      <c r="M62" s="2">
        <f>POWER(PRODUCT(B63:J63),1/3)</f>
        <v>0.36246012433429736</v>
      </c>
      <c r="O62" s="1" t="s">
        <v>71</v>
      </c>
      <c r="P62" s="2">
        <f>M62/M65</f>
        <v>8.0961231999750694E-2</v>
      </c>
    </row>
    <row r="63" spans="1:19" x14ac:dyDescent="0.3">
      <c r="A63" s="1" t="s">
        <v>55</v>
      </c>
      <c r="B63" s="89">
        <v>1</v>
      </c>
      <c r="C63" s="89"/>
      <c r="D63" s="89"/>
      <c r="E63" s="91">
        <v>0.14285714285714285</v>
      </c>
      <c r="F63" s="92"/>
      <c r="G63" s="92"/>
      <c r="H63" s="91">
        <v>0.33333333333333331</v>
      </c>
      <c r="I63" s="92"/>
      <c r="J63" s="92"/>
      <c r="L63" s="1" t="s">
        <v>23</v>
      </c>
      <c r="M63" s="2">
        <f>POWER(PRODUCT(B64:J64),1/3)</f>
        <v>3.2710663101885888</v>
      </c>
      <c r="O63" s="1" t="s">
        <v>72</v>
      </c>
      <c r="P63" s="2">
        <f>M63/M65</f>
        <v>0.73064467136112943</v>
      </c>
    </row>
    <row r="64" spans="1:19" x14ac:dyDescent="0.3">
      <c r="A64" s="1" t="s">
        <v>56</v>
      </c>
      <c r="B64" s="89">
        <v>7</v>
      </c>
      <c r="C64" s="89"/>
      <c r="D64" s="89"/>
      <c r="E64" s="89">
        <v>1</v>
      </c>
      <c r="F64" s="89"/>
      <c r="G64" s="89"/>
      <c r="H64" s="89">
        <v>5</v>
      </c>
      <c r="I64" s="89"/>
      <c r="J64" s="89"/>
      <c r="L64" s="1" t="s">
        <v>24</v>
      </c>
      <c r="M64" s="2">
        <f t="shared" ref="M64" si="6">POWER(PRODUCT(B65:J65),1/3)</f>
        <v>0.84343266530174932</v>
      </c>
      <c r="O64" s="1" t="s">
        <v>73</v>
      </c>
      <c r="P64" s="2">
        <f>M64/M65</f>
        <v>0.18839409663911982</v>
      </c>
    </row>
    <row r="65" spans="1:19" x14ac:dyDescent="0.3">
      <c r="A65" s="1" t="s">
        <v>57</v>
      </c>
      <c r="B65" s="89">
        <v>3</v>
      </c>
      <c r="C65" s="89"/>
      <c r="D65" s="89"/>
      <c r="E65" s="91">
        <v>0.2</v>
      </c>
      <c r="F65" s="92"/>
      <c r="G65" s="92"/>
      <c r="H65" s="89">
        <v>1</v>
      </c>
      <c r="I65" s="89"/>
      <c r="J65" s="89"/>
      <c r="L65" s="1" t="s">
        <v>25</v>
      </c>
      <c r="M65" s="2">
        <f>SUM(M62:M64)</f>
        <v>4.4769590998246356</v>
      </c>
    </row>
    <row r="66" spans="1:19" x14ac:dyDescent="0.3">
      <c r="B66" s="86"/>
      <c r="C66" s="86"/>
      <c r="D66" s="86"/>
      <c r="E66" s="86"/>
      <c r="F66" s="86"/>
      <c r="G66" s="86"/>
      <c r="H66" s="86"/>
      <c r="I66" s="86"/>
      <c r="J66" s="86"/>
    </row>
    <row r="67" spans="1:19" x14ac:dyDescent="0.3">
      <c r="A67" s="97" t="s">
        <v>75</v>
      </c>
      <c r="B67" s="97"/>
      <c r="C67" s="97"/>
      <c r="D67" s="97"/>
      <c r="E67" s="86"/>
      <c r="F67" s="86"/>
      <c r="G67" s="86"/>
      <c r="H67" s="86"/>
      <c r="I67" s="86"/>
      <c r="J67" s="86"/>
    </row>
    <row r="68" spans="1:19" x14ac:dyDescent="0.3">
      <c r="B68" s="86"/>
      <c r="C68" s="86"/>
      <c r="D68" s="86"/>
      <c r="E68" s="86"/>
      <c r="F68" s="86"/>
      <c r="G68" s="86"/>
      <c r="H68" s="86"/>
      <c r="I68" s="86"/>
      <c r="J68" s="86"/>
    </row>
    <row r="69" spans="1:19" x14ac:dyDescent="0.3">
      <c r="A69" s="1"/>
      <c r="B69" s="79" t="s">
        <v>55</v>
      </c>
      <c r="C69" s="79"/>
      <c r="D69" s="79"/>
      <c r="E69" s="79" t="s">
        <v>56</v>
      </c>
      <c r="F69" s="79"/>
      <c r="G69" s="79"/>
      <c r="H69" s="79" t="s">
        <v>57</v>
      </c>
      <c r="I69" s="79"/>
      <c r="J69" s="79"/>
      <c r="L69" s="1" t="s">
        <v>22</v>
      </c>
      <c r="M69" s="2">
        <f>POWER(PRODUCT(B70:J70),1/3)</f>
        <v>0.34668063717531739</v>
      </c>
      <c r="O69" s="1" t="s">
        <v>62</v>
      </c>
      <c r="P69" s="2">
        <f>M69/M72</f>
        <v>8.8983047321118211E-2</v>
      </c>
      <c r="R69" s="1" t="s">
        <v>76</v>
      </c>
      <c r="S69" s="2">
        <f>P69*Q17+P74*Q18+P79*Q19+P84*Q20</f>
        <v>0.13166752514211358</v>
      </c>
    </row>
    <row r="70" spans="1:19" x14ac:dyDescent="0.3">
      <c r="A70" s="1" t="s">
        <v>55</v>
      </c>
      <c r="B70" s="93">
        <v>1</v>
      </c>
      <c r="C70" s="93"/>
      <c r="D70" s="93"/>
      <c r="E70" s="91">
        <v>0.16666666666666666</v>
      </c>
      <c r="F70" s="92"/>
      <c r="G70" s="92"/>
      <c r="H70" s="91">
        <v>0.25</v>
      </c>
      <c r="I70" s="92"/>
      <c r="J70" s="92"/>
      <c r="L70" s="1" t="s">
        <v>23</v>
      </c>
      <c r="M70" s="2">
        <f>POWER(PRODUCT(B71:J71),1/3)</f>
        <v>2.2894284851066637</v>
      </c>
      <c r="O70" s="1" t="s">
        <v>65</v>
      </c>
      <c r="P70" s="2">
        <f>M70/M72</f>
        <v>0.58763109727856044</v>
      </c>
      <c r="R70" s="1" t="s">
        <v>77</v>
      </c>
      <c r="S70" s="2">
        <f>P70*Q17+P75*Q18+P80*Q19+P85*Q20</f>
        <v>0.60500592484797311</v>
      </c>
    </row>
    <row r="71" spans="1:19" x14ac:dyDescent="0.3">
      <c r="A71" s="1" t="s">
        <v>56</v>
      </c>
      <c r="B71" s="93">
        <v>6</v>
      </c>
      <c r="C71" s="93"/>
      <c r="D71" s="93"/>
      <c r="E71" s="93">
        <v>1</v>
      </c>
      <c r="F71" s="93"/>
      <c r="G71" s="93"/>
      <c r="H71" s="93">
        <v>2</v>
      </c>
      <c r="I71" s="93"/>
      <c r="J71" s="93"/>
      <c r="L71" s="1" t="s">
        <v>24</v>
      </c>
      <c r="M71" s="2">
        <f t="shared" ref="M71" si="7">POWER(PRODUCT(B72:J72),1/3)</f>
        <v>1.2599210498948732</v>
      </c>
      <c r="O71" s="1" t="s">
        <v>66</v>
      </c>
      <c r="P71" s="2">
        <f>M71/M72</f>
        <v>0.32338585540032128</v>
      </c>
      <c r="R71" s="1" t="s">
        <v>78</v>
      </c>
      <c r="S71" s="2">
        <f>P71*Q17+P76*Q18+P81*Q19+P86*Q20</f>
        <v>0.26332655000991328</v>
      </c>
    </row>
    <row r="72" spans="1:19" x14ac:dyDescent="0.3">
      <c r="A72" s="1" t="s">
        <v>57</v>
      </c>
      <c r="B72" s="93">
        <v>4</v>
      </c>
      <c r="C72" s="93"/>
      <c r="D72" s="93"/>
      <c r="E72" s="91">
        <v>0.5</v>
      </c>
      <c r="F72" s="92"/>
      <c r="G72" s="92"/>
      <c r="H72" s="93">
        <v>1</v>
      </c>
      <c r="I72" s="93"/>
      <c r="J72" s="93"/>
      <c r="L72" s="1" t="s">
        <v>25</v>
      </c>
      <c r="M72" s="2">
        <f>SUM(M69:M71)</f>
        <v>3.8960301721768547</v>
      </c>
    </row>
    <row r="73" spans="1:19" x14ac:dyDescent="0.3">
      <c r="B73" s="86"/>
      <c r="C73" s="86"/>
      <c r="D73" s="86"/>
      <c r="E73" s="86"/>
      <c r="F73" s="86"/>
      <c r="G73" s="86"/>
      <c r="H73" s="86"/>
      <c r="I73" s="86"/>
      <c r="J73" s="86"/>
    </row>
    <row r="74" spans="1:19" x14ac:dyDescent="0.3">
      <c r="A74" s="1"/>
      <c r="B74" s="79" t="s">
        <v>55</v>
      </c>
      <c r="C74" s="79"/>
      <c r="D74" s="79"/>
      <c r="E74" s="79" t="s">
        <v>56</v>
      </c>
      <c r="F74" s="79"/>
      <c r="G74" s="79"/>
      <c r="H74" s="79" t="s">
        <v>57</v>
      </c>
      <c r="I74" s="79"/>
      <c r="J74" s="79"/>
      <c r="L74" s="1" t="s">
        <v>22</v>
      </c>
      <c r="M74" s="2">
        <f>POWER(PRODUCT(B75:J75),1/3)</f>
        <v>1</v>
      </c>
      <c r="O74" s="1" t="s">
        <v>67</v>
      </c>
      <c r="P74" s="2">
        <f>M74/M77</f>
        <v>0.24985553300653499</v>
      </c>
    </row>
    <row r="75" spans="1:19" x14ac:dyDescent="0.3">
      <c r="A75" s="1" t="s">
        <v>55</v>
      </c>
      <c r="B75" s="89">
        <v>1</v>
      </c>
      <c r="C75" s="89"/>
      <c r="D75" s="89"/>
      <c r="E75" s="91">
        <v>0.33333333333333331</v>
      </c>
      <c r="F75" s="92"/>
      <c r="G75" s="92"/>
      <c r="H75" s="89">
        <v>3</v>
      </c>
      <c r="I75" s="89"/>
      <c r="J75" s="89"/>
      <c r="L75" s="1" t="s">
        <v>23</v>
      </c>
      <c r="M75" s="2">
        <f>POWER(PRODUCT(B76:J76),1/3)</f>
        <v>2.6207413942088964</v>
      </c>
      <c r="O75" s="1" t="s">
        <v>63</v>
      </c>
      <c r="P75" s="2">
        <f>M75/M77</f>
        <v>0.65480673792235344</v>
      </c>
    </row>
    <row r="76" spans="1:19" x14ac:dyDescent="0.3">
      <c r="A76" s="1" t="s">
        <v>56</v>
      </c>
      <c r="B76" s="89">
        <v>3</v>
      </c>
      <c r="C76" s="89"/>
      <c r="D76" s="89"/>
      <c r="E76" s="89">
        <v>1</v>
      </c>
      <c r="F76" s="89"/>
      <c r="G76" s="89"/>
      <c r="H76" s="89">
        <v>6</v>
      </c>
      <c r="I76" s="89"/>
      <c r="J76" s="89"/>
      <c r="L76" s="1" t="s">
        <v>24</v>
      </c>
      <c r="M76" s="2">
        <f t="shared" ref="M76" si="8">POWER(PRODUCT(B77:J77),1/3)</f>
        <v>0.38157141418444396</v>
      </c>
      <c r="O76" s="1" t="s">
        <v>68</v>
      </c>
      <c r="P76" s="2">
        <f>M76/M77</f>
        <v>9.5337729071111571E-2</v>
      </c>
    </row>
    <row r="77" spans="1:19" x14ac:dyDescent="0.3">
      <c r="A77" s="1" t="s">
        <v>57</v>
      </c>
      <c r="B77" s="91">
        <v>0.33333333333333331</v>
      </c>
      <c r="C77" s="92"/>
      <c r="D77" s="92"/>
      <c r="E77" s="91">
        <v>0.16666666666666666</v>
      </c>
      <c r="F77" s="92"/>
      <c r="G77" s="92"/>
      <c r="H77" s="89">
        <v>1</v>
      </c>
      <c r="I77" s="89"/>
      <c r="J77" s="89"/>
      <c r="L77" s="1" t="s">
        <v>25</v>
      </c>
      <c r="M77" s="2">
        <f>SUM(M74:M76)</f>
        <v>4.0023128083933406</v>
      </c>
    </row>
    <row r="78" spans="1:19" x14ac:dyDescent="0.3">
      <c r="B78" s="86"/>
      <c r="C78" s="86"/>
      <c r="D78" s="86"/>
      <c r="E78" s="86"/>
      <c r="F78" s="86"/>
      <c r="G78" s="86"/>
      <c r="H78" s="86"/>
      <c r="I78" s="86"/>
      <c r="J78" s="86"/>
    </row>
    <row r="79" spans="1:19" x14ac:dyDescent="0.3">
      <c r="A79" s="1"/>
      <c r="B79" s="79" t="s">
        <v>55</v>
      </c>
      <c r="C79" s="79"/>
      <c r="D79" s="79"/>
      <c r="E79" s="79" t="s">
        <v>56</v>
      </c>
      <c r="F79" s="79"/>
      <c r="G79" s="79"/>
      <c r="H79" s="79" t="s">
        <v>57</v>
      </c>
      <c r="I79" s="79"/>
      <c r="J79" s="79"/>
      <c r="L79" s="1" t="s">
        <v>22</v>
      </c>
      <c r="M79" s="2">
        <f>POWER(PRODUCT(B80:J80),1/3)</f>
        <v>0.3968502629920499</v>
      </c>
      <c r="O79" s="1" t="s">
        <v>69</v>
      </c>
      <c r="P79" s="2">
        <f>M79/M82</f>
        <v>0.11111111111111112</v>
      </c>
    </row>
    <row r="80" spans="1:19" x14ac:dyDescent="0.3">
      <c r="A80" s="1" t="s">
        <v>55</v>
      </c>
      <c r="B80" s="89">
        <v>1</v>
      </c>
      <c r="C80" s="89"/>
      <c r="D80" s="89"/>
      <c r="E80" s="91">
        <v>0.25</v>
      </c>
      <c r="F80" s="92"/>
      <c r="G80" s="92"/>
      <c r="H80" s="91">
        <v>0.25</v>
      </c>
      <c r="I80" s="92"/>
      <c r="J80" s="92"/>
      <c r="L80" s="1" t="s">
        <v>23</v>
      </c>
      <c r="M80" s="2">
        <f>POWER(PRODUCT(B81:J81),1/3)</f>
        <v>1.5874010519681994</v>
      </c>
      <c r="O80" s="1" t="s">
        <v>70</v>
      </c>
      <c r="P80" s="2">
        <f>M80/M82</f>
        <v>0.44444444444444442</v>
      </c>
    </row>
    <row r="81" spans="1:16" x14ac:dyDescent="0.3">
      <c r="A81" s="1" t="s">
        <v>56</v>
      </c>
      <c r="B81" s="89">
        <v>4</v>
      </c>
      <c r="C81" s="89"/>
      <c r="D81" s="89"/>
      <c r="E81" s="89">
        <v>1</v>
      </c>
      <c r="F81" s="89"/>
      <c r="G81" s="89"/>
      <c r="H81" s="89">
        <v>1</v>
      </c>
      <c r="I81" s="89"/>
      <c r="J81" s="89"/>
      <c r="L81" s="1" t="s">
        <v>24</v>
      </c>
      <c r="M81" s="2">
        <f>POWER(PRODUCT(B82:J82),1/3)</f>
        <v>1.5874010519681994</v>
      </c>
      <c r="O81" s="1" t="s">
        <v>64</v>
      </c>
      <c r="P81" s="2">
        <f>M81/M82</f>
        <v>0.44444444444444442</v>
      </c>
    </row>
    <row r="82" spans="1:16" x14ac:dyDescent="0.3">
      <c r="A82" s="1" t="s">
        <v>57</v>
      </c>
      <c r="B82" s="89">
        <v>4</v>
      </c>
      <c r="C82" s="89"/>
      <c r="D82" s="89"/>
      <c r="E82" s="94">
        <v>1</v>
      </c>
      <c r="F82" s="94"/>
      <c r="G82" s="94"/>
      <c r="H82" s="89">
        <v>1</v>
      </c>
      <c r="I82" s="89"/>
      <c r="J82" s="89"/>
      <c r="L82" s="1" t="s">
        <v>25</v>
      </c>
      <c r="M82" s="2">
        <f>SUM(M79:M81)</f>
        <v>3.5716523669284488</v>
      </c>
    </row>
    <row r="83" spans="1:16" x14ac:dyDescent="0.3">
      <c r="B83" s="86"/>
      <c r="C83" s="86"/>
      <c r="D83" s="86"/>
      <c r="E83" s="86"/>
      <c r="F83" s="86"/>
      <c r="G83" s="86"/>
      <c r="H83" s="86"/>
      <c r="I83" s="86"/>
      <c r="J83" s="86"/>
    </row>
    <row r="84" spans="1:16" x14ac:dyDescent="0.3">
      <c r="A84" s="1"/>
      <c r="B84" s="79" t="s">
        <v>55</v>
      </c>
      <c r="C84" s="79"/>
      <c r="D84" s="79"/>
      <c r="E84" s="79" t="s">
        <v>56</v>
      </c>
      <c r="F84" s="79"/>
      <c r="G84" s="79"/>
      <c r="H84" s="79" t="s">
        <v>57</v>
      </c>
      <c r="I84" s="79"/>
      <c r="J84" s="79"/>
      <c r="L84" s="1" t="s">
        <v>22</v>
      </c>
      <c r="M84" s="2">
        <f>POWER(PRODUCT(B85:J85),1/3)</f>
        <v>0.36246012433429736</v>
      </c>
      <c r="O84" s="1" t="s">
        <v>71</v>
      </c>
      <c r="P84" s="2">
        <f>M84/M87</f>
        <v>8.0961231999750694E-2</v>
      </c>
    </row>
    <row r="85" spans="1:16" x14ac:dyDescent="0.3">
      <c r="A85" s="1" t="s">
        <v>55</v>
      </c>
      <c r="B85" s="89">
        <v>1</v>
      </c>
      <c r="C85" s="89"/>
      <c r="D85" s="89"/>
      <c r="E85" s="91">
        <v>0.14285714285714285</v>
      </c>
      <c r="F85" s="92"/>
      <c r="G85" s="92"/>
      <c r="H85" s="91">
        <v>0.33333333333333331</v>
      </c>
      <c r="I85" s="92"/>
      <c r="J85" s="92"/>
      <c r="L85" s="1" t="s">
        <v>23</v>
      </c>
      <c r="M85" s="2">
        <f>POWER(PRODUCT(B86:J86),1/3)</f>
        <v>3.2710663101885888</v>
      </c>
      <c r="O85" s="1" t="s">
        <v>72</v>
      </c>
      <c r="P85" s="2">
        <f>M85/M87</f>
        <v>0.73064467136112943</v>
      </c>
    </row>
    <row r="86" spans="1:16" x14ac:dyDescent="0.3">
      <c r="A86" s="1" t="s">
        <v>56</v>
      </c>
      <c r="B86" s="89">
        <v>7</v>
      </c>
      <c r="C86" s="89"/>
      <c r="D86" s="89"/>
      <c r="E86" s="89">
        <v>1</v>
      </c>
      <c r="F86" s="89"/>
      <c r="G86" s="89"/>
      <c r="H86" s="89">
        <v>5</v>
      </c>
      <c r="I86" s="89"/>
      <c r="J86" s="89"/>
      <c r="L86" s="1" t="s">
        <v>24</v>
      </c>
      <c r="M86" s="2">
        <f t="shared" ref="M86" si="9">POWER(PRODUCT(B87:J87),1/3)</f>
        <v>0.84343266530174932</v>
      </c>
      <c r="O86" s="1" t="s">
        <v>73</v>
      </c>
      <c r="P86" s="2">
        <f>M86/M87</f>
        <v>0.18839409663911982</v>
      </c>
    </row>
    <row r="87" spans="1:16" x14ac:dyDescent="0.3">
      <c r="A87" s="1" t="s">
        <v>57</v>
      </c>
      <c r="B87" s="89">
        <v>3</v>
      </c>
      <c r="C87" s="89"/>
      <c r="D87" s="89"/>
      <c r="E87" s="91">
        <v>0.2</v>
      </c>
      <c r="F87" s="92"/>
      <c r="G87" s="92"/>
      <c r="H87" s="89">
        <v>1</v>
      </c>
      <c r="I87" s="89"/>
      <c r="J87" s="89"/>
      <c r="L87" s="1" t="s">
        <v>25</v>
      </c>
      <c r="M87" s="2">
        <f>SUM(M84:M86)</f>
        <v>4.4769590998246356</v>
      </c>
    </row>
    <row r="88" spans="1:16" x14ac:dyDescent="0.3">
      <c r="B88" s="86"/>
      <c r="C88" s="86"/>
      <c r="D88" s="86"/>
      <c r="E88" s="86"/>
      <c r="F88" s="86"/>
      <c r="G88" s="86"/>
      <c r="H88" s="86"/>
      <c r="I88" s="86"/>
      <c r="J88" s="86"/>
    </row>
    <row r="89" spans="1:16" x14ac:dyDescent="0.3">
      <c r="A89" s="79" t="s">
        <v>48</v>
      </c>
      <c r="B89" s="79" t="s">
        <v>47</v>
      </c>
      <c r="C89" s="79"/>
      <c r="D89" s="79"/>
      <c r="E89" s="79"/>
      <c r="F89" s="79"/>
      <c r="G89" s="79"/>
      <c r="H89" s="79"/>
      <c r="I89" s="79"/>
      <c r="J89" s="79"/>
    </row>
    <row r="90" spans="1:16" ht="28.2" customHeight="1" x14ac:dyDescent="0.3">
      <c r="A90" s="79"/>
      <c r="B90" s="90" t="s">
        <v>61</v>
      </c>
      <c r="C90" s="90"/>
      <c r="D90" s="90"/>
      <c r="E90" s="90" t="s">
        <v>74</v>
      </c>
      <c r="F90" s="90"/>
      <c r="G90" s="90"/>
      <c r="H90" s="90" t="s">
        <v>75</v>
      </c>
      <c r="I90" s="90"/>
      <c r="J90" s="90"/>
    </row>
    <row r="91" spans="1:16" x14ac:dyDescent="0.3">
      <c r="A91" s="1" t="s">
        <v>55</v>
      </c>
      <c r="B91" s="88">
        <v>0.10913850390719426</v>
      </c>
      <c r="C91" s="88"/>
      <c r="D91" s="88"/>
      <c r="E91" s="88">
        <v>0.12407974347725111</v>
      </c>
      <c r="F91" s="88"/>
      <c r="G91" s="88"/>
      <c r="H91" s="88">
        <v>0.13166752514211358</v>
      </c>
      <c r="I91" s="88"/>
      <c r="J91" s="88"/>
    </row>
    <row r="92" spans="1:16" x14ac:dyDescent="0.3">
      <c r="A92" s="1" t="s">
        <v>56</v>
      </c>
      <c r="B92" s="88">
        <v>0.68099976302492959</v>
      </c>
      <c r="C92" s="88"/>
      <c r="D92" s="88"/>
      <c r="E92" s="88">
        <v>0.63530328021561788</v>
      </c>
      <c r="F92" s="88"/>
      <c r="G92" s="88"/>
      <c r="H92" s="88">
        <v>0.60500592484797311</v>
      </c>
      <c r="I92" s="88"/>
      <c r="J92" s="88"/>
    </row>
    <row r="93" spans="1:16" x14ac:dyDescent="0.3">
      <c r="A93" s="1" t="s">
        <v>57</v>
      </c>
      <c r="B93" s="88">
        <v>0.20986173306787598</v>
      </c>
      <c r="C93" s="88"/>
      <c r="D93" s="88"/>
      <c r="E93" s="88">
        <v>0.24061697630713108</v>
      </c>
      <c r="F93" s="88"/>
      <c r="G93" s="88"/>
      <c r="H93" s="88">
        <v>0.26332655000991328</v>
      </c>
      <c r="I93" s="88"/>
      <c r="J93" s="88"/>
    </row>
    <row r="94" spans="1:16" x14ac:dyDescent="0.3">
      <c r="B94" s="86"/>
      <c r="C94" s="86"/>
      <c r="D94" s="86"/>
      <c r="E94" s="86"/>
      <c r="F94" s="86"/>
      <c r="G94" s="86"/>
      <c r="H94" s="86"/>
      <c r="I94" s="86"/>
      <c r="J94" s="86"/>
    </row>
    <row r="95" spans="1:16" x14ac:dyDescent="0.3">
      <c r="A95" s="1" t="s">
        <v>79</v>
      </c>
      <c r="B95" s="88">
        <f>0.4*B91+0.4*E91+0.2*H91</f>
        <v>0.11962080398220087</v>
      </c>
      <c r="C95" s="88"/>
      <c r="D95" s="88"/>
      <c r="E95" s="86"/>
      <c r="F95" s="86"/>
      <c r="G95" s="86"/>
      <c r="H95" s="86"/>
      <c r="I95" s="86"/>
      <c r="J95" s="86"/>
    </row>
    <row r="96" spans="1:16" x14ac:dyDescent="0.3">
      <c r="A96" s="1" t="s">
        <v>80</v>
      </c>
      <c r="B96" s="88">
        <f>0.4*B92+0.4*E92+0.2*H92</f>
        <v>0.6475224022658137</v>
      </c>
      <c r="C96" s="88"/>
      <c r="D96" s="88"/>
      <c r="E96" s="86"/>
      <c r="F96" s="86"/>
      <c r="G96" s="86"/>
      <c r="H96" s="86"/>
      <c r="I96" s="86"/>
      <c r="J96" s="86"/>
    </row>
    <row r="97" spans="1:10" x14ac:dyDescent="0.3">
      <c r="A97" s="1" t="s">
        <v>81</v>
      </c>
      <c r="B97" s="88">
        <f>0.4*B93+0.4*E93+0.2*H93</f>
        <v>0.23285679375198548</v>
      </c>
      <c r="C97" s="88"/>
      <c r="D97" s="88"/>
      <c r="E97" s="86"/>
      <c r="F97" s="86"/>
      <c r="G97" s="86"/>
      <c r="H97" s="86"/>
      <c r="I97" s="86"/>
      <c r="J97" s="86"/>
    </row>
    <row r="98" spans="1:10" x14ac:dyDescent="0.3">
      <c r="B98" s="86"/>
      <c r="C98" s="86"/>
      <c r="D98" s="86"/>
      <c r="E98" s="86"/>
      <c r="F98" s="86"/>
      <c r="G98" s="86"/>
      <c r="H98" s="86"/>
      <c r="I98" s="86"/>
      <c r="J98" s="86"/>
    </row>
    <row r="99" spans="1:10" x14ac:dyDescent="0.3">
      <c r="B99" s="86"/>
      <c r="C99" s="86"/>
      <c r="D99" s="86"/>
      <c r="E99" s="86"/>
      <c r="F99" s="86"/>
      <c r="G99" s="86"/>
      <c r="H99" s="86"/>
      <c r="I99" s="86"/>
      <c r="J99" s="86"/>
    </row>
    <row r="100" spans="1:10" x14ac:dyDescent="0.3">
      <c r="B100" s="86"/>
      <c r="C100" s="86"/>
      <c r="D100" s="86"/>
      <c r="E100" s="86"/>
      <c r="F100" s="86"/>
      <c r="G100" s="86"/>
      <c r="H100" s="86"/>
      <c r="I100" s="86"/>
      <c r="J100" s="86"/>
    </row>
    <row r="101" spans="1:10" x14ac:dyDescent="0.3">
      <c r="B101" s="86"/>
      <c r="C101" s="86"/>
      <c r="D101" s="86"/>
      <c r="E101" s="86"/>
      <c r="F101" s="86"/>
      <c r="G101" s="86"/>
      <c r="H101" s="86"/>
      <c r="I101" s="86"/>
      <c r="J101" s="86"/>
    </row>
    <row r="102" spans="1:10" x14ac:dyDescent="0.3">
      <c r="B102" s="86"/>
      <c r="C102" s="86"/>
      <c r="D102" s="86"/>
      <c r="E102" s="86"/>
      <c r="F102" s="86"/>
      <c r="G102" s="86"/>
      <c r="H102" s="86"/>
      <c r="I102" s="86"/>
      <c r="J102" s="86"/>
    </row>
    <row r="103" spans="1:10" x14ac:dyDescent="0.3">
      <c r="B103" s="86"/>
      <c r="C103" s="86"/>
      <c r="D103" s="86"/>
      <c r="E103" s="86"/>
      <c r="F103" s="86"/>
      <c r="G103" s="86"/>
      <c r="H103" s="86"/>
      <c r="I103" s="86"/>
      <c r="J103" s="86"/>
    </row>
    <row r="104" spans="1:10" x14ac:dyDescent="0.3">
      <c r="B104" s="86"/>
      <c r="C104" s="86"/>
      <c r="D104" s="86"/>
      <c r="E104" s="86"/>
      <c r="F104" s="86"/>
      <c r="G104" s="86"/>
      <c r="H104" s="86"/>
      <c r="I104" s="86"/>
      <c r="J104" s="86"/>
    </row>
    <row r="105" spans="1:10" x14ac:dyDescent="0.3">
      <c r="B105" s="86"/>
      <c r="C105" s="86"/>
      <c r="D105" s="86"/>
      <c r="E105" s="86"/>
      <c r="F105" s="86"/>
      <c r="G105" s="86"/>
      <c r="H105" s="86"/>
      <c r="I105" s="86"/>
      <c r="J105" s="86"/>
    </row>
    <row r="106" spans="1:10" x14ac:dyDescent="0.3">
      <c r="B106" s="86"/>
      <c r="C106" s="86"/>
      <c r="D106" s="86"/>
      <c r="E106" s="86"/>
      <c r="F106" s="86"/>
      <c r="G106" s="86"/>
      <c r="H106" s="86"/>
      <c r="I106" s="86"/>
      <c r="J106" s="86"/>
    </row>
    <row r="107" spans="1:10" x14ac:dyDescent="0.3">
      <c r="B107" s="86"/>
      <c r="C107" s="86"/>
      <c r="D107" s="86"/>
      <c r="E107" s="86"/>
      <c r="F107" s="86"/>
      <c r="G107" s="86"/>
      <c r="H107" s="86"/>
      <c r="I107" s="86"/>
      <c r="J107" s="86"/>
    </row>
    <row r="108" spans="1:10" x14ac:dyDescent="0.3">
      <c r="B108" s="86"/>
      <c r="C108" s="86"/>
      <c r="D108" s="86"/>
      <c r="E108" s="86"/>
      <c r="F108" s="86"/>
      <c r="G108" s="86"/>
      <c r="H108" s="86"/>
      <c r="I108" s="86"/>
      <c r="J108" s="86"/>
    </row>
    <row r="109" spans="1:10" x14ac:dyDescent="0.3">
      <c r="B109" s="86"/>
      <c r="C109" s="86"/>
      <c r="D109" s="86"/>
      <c r="E109" s="86"/>
      <c r="F109" s="86"/>
      <c r="G109" s="86"/>
      <c r="H109" s="86"/>
      <c r="I109" s="86"/>
      <c r="J109" s="86"/>
    </row>
    <row r="110" spans="1:10" x14ac:dyDescent="0.3">
      <c r="B110" s="86"/>
      <c r="C110" s="86"/>
      <c r="D110" s="86"/>
      <c r="E110" s="86"/>
      <c r="F110" s="86"/>
      <c r="G110" s="86"/>
      <c r="H110" s="86"/>
      <c r="I110" s="86"/>
      <c r="J110" s="86"/>
    </row>
    <row r="111" spans="1:10" x14ac:dyDescent="0.3">
      <c r="B111" s="86"/>
      <c r="C111" s="86"/>
      <c r="D111" s="86"/>
      <c r="E111" s="86"/>
      <c r="F111" s="86"/>
      <c r="G111" s="86"/>
      <c r="H111" s="86"/>
      <c r="I111" s="86"/>
      <c r="J111" s="86"/>
    </row>
    <row r="112" spans="1:10" x14ac:dyDescent="0.3">
      <c r="B112" s="86"/>
      <c r="C112" s="86"/>
      <c r="D112" s="86"/>
      <c r="E112" s="86"/>
      <c r="F112" s="86"/>
      <c r="G112" s="86"/>
      <c r="H112" s="86"/>
      <c r="I112" s="86"/>
      <c r="J112" s="86"/>
    </row>
    <row r="113" spans="2:10" x14ac:dyDescent="0.3">
      <c r="B113" s="86"/>
      <c r="C113" s="86"/>
      <c r="D113" s="86"/>
      <c r="E113" s="86"/>
      <c r="F113" s="86"/>
      <c r="G113" s="86"/>
      <c r="H113" s="86"/>
      <c r="I113" s="86"/>
      <c r="J113" s="86"/>
    </row>
    <row r="114" spans="2:10" x14ac:dyDescent="0.3">
      <c r="B114" s="86"/>
      <c r="C114" s="86"/>
      <c r="D114" s="86"/>
      <c r="E114" s="86"/>
      <c r="F114" s="86"/>
      <c r="G114" s="86"/>
      <c r="H114" s="86"/>
      <c r="I114" s="86"/>
      <c r="J114" s="86"/>
    </row>
    <row r="115" spans="2:10" x14ac:dyDescent="0.3">
      <c r="B115" s="86"/>
      <c r="C115" s="86"/>
      <c r="D115" s="86"/>
      <c r="E115" s="86"/>
      <c r="F115" s="86"/>
      <c r="G115" s="86"/>
      <c r="H115" s="86"/>
      <c r="I115" s="86"/>
      <c r="J115" s="86"/>
    </row>
    <row r="116" spans="2:10" x14ac:dyDescent="0.3">
      <c r="B116" s="86"/>
      <c r="C116" s="86"/>
      <c r="D116" s="86"/>
      <c r="E116" s="86"/>
      <c r="F116" s="86"/>
      <c r="G116" s="86"/>
      <c r="H116" s="86"/>
      <c r="I116" s="86"/>
      <c r="J116" s="86"/>
    </row>
    <row r="117" spans="2:10" x14ac:dyDescent="0.3">
      <c r="B117" s="86"/>
      <c r="C117" s="86"/>
      <c r="D117" s="86"/>
      <c r="E117" s="86"/>
      <c r="F117" s="86"/>
      <c r="G117" s="86"/>
      <c r="H117" s="86"/>
      <c r="I117" s="86"/>
      <c r="J117" s="86"/>
    </row>
    <row r="118" spans="2:10" x14ac:dyDescent="0.3">
      <c r="B118" s="86"/>
      <c r="C118" s="86"/>
      <c r="D118" s="86"/>
      <c r="E118" s="86"/>
      <c r="F118" s="86"/>
      <c r="G118" s="86"/>
      <c r="H118" s="86"/>
      <c r="I118" s="86"/>
      <c r="J118" s="86"/>
    </row>
    <row r="119" spans="2:10" x14ac:dyDescent="0.3">
      <c r="B119" s="86"/>
      <c r="C119" s="86"/>
      <c r="D119" s="86"/>
      <c r="E119" s="86"/>
      <c r="F119" s="86"/>
      <c r="G119" s="86"/>
      <c r="H119" s="86"/>
      <c r="I119" s="86"/>
      <c r="J119" s="86"/>
    </row>
    <row r="120" spans="2:10" x14ac:dyDescent="0.3">
      <c r="B120" s="86"/>
      <c r="C120" s="86"/>
      <c r="D120" s="86"/>
      <c r="E120" s="86"/>
      <c r="F120" s="86"/>
      <c r="G120" s="86"/>
      <c r="H120" s="86"/>
      <c r="I120" s="86"/>
      <c r="J120" s="86"/>
    </row>
    <row r="121" spans="2:10" x14ac:dyDescent="0.3">
      <c r="B121" s="86"/>
      <c r="C121" s="86"/>
      <c r="D121" s="86"/>
      <c r="E121" s="86"/>
      <c r="F121" s="86"/>
      <c r="G121" s="86"/>
      <c r="H121" s="86"/>
      <c r="I121" s="86"/>
      <c r="J121" s="86"/>
    </row>
    <row r="122" spans="2:10" x14ac:dyDescent="0.3">
      <c r="B122" s="86"/>
      <c r="C122" s="86"/>
      <c r="D122" s="86"/>
      <c r="E122" s="86"/>
      <c r="F122" s="86"/>
      <c r="G122" s="86"/>
      <c r="H122" s="86"/>
      <c r="I122" s="86"/>
      <c r="J122" s="86"/>
    </row>
    <row r="123" spans="2:10" x14ac:dyDescent="0.3">
      <c r="B123" s="86"/>
      <c r="C123" s="86"/>
      <c r="D123" s="86"/>
      <c r="E123" s="86"/>
      <c r="F123" s="86"/>
      <c r="G123" s="86"/>
      <c r="H123" s="86"/>
      <c r="I123" s="86"/>
      <c r="J123" s="86"/>
    </row>
    <row r="124" spans="2:10" x14ac:dyDescent="0.3">
      <c r="B124" s="86"/>
      <c r="C124" s="86"/>
      <c r="D124" s="86"/>
      <c r="E124" s="86"/>
      <c r="F124" s="86"/>
      <c r="G124" s="86"/>
      <c r="H124" s="86"/>
      <c r="I124" s="86"/>
      <c r="J124" s="86"/>
    </row>
    <row r="125" spans="2:10" x14ac:dyDescent="0.3">
      <c r="B125" s="86"/>
      <c r="C125" s="86"/>
      <c r="D125" s="86"/>
      <c r="E125" s="86"/>
      <c r="F125" s="86"/>
      <c r="G125" s="86"/>
      <c r="H125" s="86"/>
      <c r="I125" s="86"/>
      <c r="J125" s="86"/>
    </row>
    <row r="126" spans="2:10" x14ac:dyDescent="0.3">
      <c r="B126" s="86"/>
      <c r="C126" s="86"/>
      <c r="D126" s="86"/>
      <c r="E126" s="86"/>
      <c r="F126" s="86"/>
      <c r="G126" s="86"/>
      <c r="H126" s="86"/>
      <c r="I126" s="86"/>
      <c r="J126" s="86"/>
    </row>
    <row r="127" spans="2:10" x14ac:dyDescent="0.3">
      <c r="B127" s="86"/>
      <c r="C127" s="86"/>
      <c r="D127" s="86"/>
      <c r="E127" s="86"/>
      <c r="F127" s="86"/>
      <c r="G127" s="86"/>
      <c r="H127" s="86"/>
      <c r="I127" s="86"/>
      <c r="J127" s="86"/>
    </row>
    <row r="128" spans="2:10" x14ac:dyDescent="0.3">
      <c r="B128" s="86"/>
      <c r="C128" s="86"/>
      <c r="D128" s="86"/>
      <c r="E128" s="86"/>
      <c r="F128" s="86"/>
      <c r="G128" s="86"/>
      <c r="H128" s="86"/>
      <c r="I128" s="86"/>
      <c r="J128" s="86"/>
    </row>
    <row r="129" spans="2:10" x14ac:dyDescent="0.3">
      <c r="B129" s="86"/>
      <c r="C129" s="86"/>
      <c r="D129" s="86"/>
      <c r="E129" s="86"/>
      <c r="F129" s="86"/>
      <c r="G129" s="86"/>
      <c r="H129" s="86"/>
      <c r="I129" s="86"/>
      <c r="J129" s="86"/>
    </row>
    <row r="130" spans="2:10" x14ac:dyDescent="0.3">
      <c r="B130" s="86"/>
      <c r="C130" s="86"/>
      <c r="D130" s="86"/>
      <c r="E130" s="86"/>
      <c r="F130" s="86"/>
      <c r="G130" s="86"/>
      <c r="H130" s="86"/>
      <c r="I130" s="86"/>
      <c r="J130" s="86"/>
    </row>
    <row r="131" spans="2:10" x14ac:dyDescent="0.3">
      <c r="B131" s="86"/>
      <c r="C131" s="86"/>
      <c r="D131" s="86"/>
      <c r="E131" s="86"/>
      <c r="F131" s="86"/>
      <c r="G131" s="86"/>
      <c r="H131" s="86"/>
      <c r="I131" s="86"/>
      <c r="J131" s="86"/>
    </row>
    <row r="132" spans="2:10" x14ac:dyDescent="0.3">
      <c r="B132" s="86"/>
      <c r="C132" s="86"/>
      <c r="D132" s="86"/>
      <c r="E132" s="86"/>
      <c r="F132" s="86"/>
      <c r="G132" s="86"/>
      <c r="H132" s="86"/>
      <c r="I132" s="86"/>
      <c r="J132" s="86"/>
    </row>
    <row r="133" spans="2:10" x14ac:dyDescent="0.3">
      <c r="B133" s="86"/>
      <c r="C133" s="86"/>
      <c r="D133" s="86"/>
      <c r="E133" s="86"/>
      <c r="F133" s="86"/>
      <c r="G133" s="86"/>
      <c r="H133" s="86"/>
      <c r="I133" s="86"/>
      <c r="J133" s="86"/>
    </row>
    <row r="134" spans="2:10" x14ac:dyDescent="0.3">
      <c r="B134" s="86"/>
      <c r="C134" s="86"/>
      <c r="D134" s="86"/>
      <c r="E134" s="86"/>
      <c r="F134" s="86"/>
      <c r="G134" s="86"/>
      <c r="H134" s="86"/>
      <c r="I134" s="86"/>
      <c r="J134" s="86"/>
    </row>
    <row r="135" spans="2:10" x14ac:dyDescent="0.3">
      <c r="B135" s="86"/>
      <c r="C135" s="86"/>
      <c r="D135" s="86"/>
      <c r="E135" s="86"/>
      <c r="F135" s="86"/>
      <c r="G135" s="86"/>
      <c r="H135" s="86"/>
      <c r="I135" s="86"/>
      <c r="J135" s="86"/>
    </row>
    <row r="136" spans="2:10" x14ac:dyDescent="0.3">
      <c r="B136" s="86"/>
      <c r="C136" s="86"/>
      <c r="D136" s="86"/>
      <c r="E136" s="86"/>
      <c r="F136" s="86"/>
      <c r="G136" s="86"/>
      <c r="H136" s="86"/>
      <c r="I136" s="86"/>
      <c r="J136" s="86"/>
    </row>
    <row r="137" spans="2:10" x14ac:dyDescent="0.3">
      <c r="B137" s="86"/>
      <c r="C137" s="86"/>
      <c r="D137" s="86"/>
      <c r="E137" s="86"/>
      <c r="F137" s="86"/>
      <c r="G137" s="86"/>
      <c r="H137" s="86"/>
      <c r="I137" s="86"/>
      <c r="J137" s="86"/>
    </row>
    <row r="138" spans="2:10" x14ac:dyDescent="0.3">
      <c r="B138" s="86"/>
      <c r="C138" s="86"/>
      <c r="D138" s="86"/>
      <c r="E138" s="86"/>
      <c r="F138" s="86"/>
      <c r="G138" s="86"/>
      <c r="H138" s="86"/>
      <c r="I138" s="86"/>
      <c r="J138" s="86"/>
    </row>
    <row r="139" spans="2:10" x14ac:dyDescent="0.3">
      <c r="B139" s="86"/>
      <c r="C139" s="86"/>
      <c r="D139" s="86"/>
      <c r="E139" s="86"/>
      <c r="F139" s="86"/>
      <c r="G139" s="86"/>
      <c r="H139" s="86"/>
      <c r="I139" s="86"/>
      <c r="J139" s="86"/>
    </row>
    <row r="140" spans="2:10" x14ac:dyDescent="0.3">
      <c r="B140" s="86"/>
      <c r="C140" s="86"/>
      <c r="D140" s="86"/>
      <c r="E140" s="86"/>
      <c r="F140" s="86"/>
      <c r="G140" s="86"/>
      <c r="H140" s="86"/>
      <c r="I140" s="86"/>
      <c r="J140" s="86"/>
    </row>
    <row r="141" spans="2:10" x14ac:dyDescent="0.3">
      <c r="B141" s="86"/>
      <c r="C141" s="86"/>
      <c r="D141" s="86"/>
      <c r="E141" s="86"/>
      <c r="F141" s="86"/>
      <c r="G141" s="86"/>
      <c r="H141" s="86"/>
      <c r="I141" s="86"/>
      <c r="J141" s="86"/>
    </row>
    <row r="142" spans="2:10" x14ac:dyDescent="0.3">
      <c r="B142" s="86"/>
      <c r="C142" s="86"/>
      <c r="D142" s="86"/>
      <c r="E142" s="86"/>
      <c r="F142" s="86"/>
      <c r="G142" s="86"/>
      <c r="H142" s="86"/>
      <c r="I142" s="86"/>
      <c r="J142" s="86"/>
    </row>
    <row r="143" spans="2:10" x14ac:dyDescent="0.3">
      <c r="B143" s="86"/>
      <c r="C143" s="86"/>
      <c r="D143" s="86"/>
      <c r="E143" s="86"/>
      <c r="F143" s="86"/>
      <c r="G143" s="86"/>
      <c r="H143" s="86"/>
      <c r="I143" s="86"/>
      <c r="J143" s="86"/>
    </row>
    <row r="144" spans="2:10" x14ac:dyDescent="0.3">
      <c r="B144" s="86"/>
      <c r="C144" s="86"/>
      <c r="D144" s="86"/>
      <c r="E144" s="86"/>
      <c r="F144" s="86"/>
      <c r="G144" s="86"/>
      <c r="H144" s="86"/>
      <c r="I144" s="86"/>
      <c r="J144" s="86"/>
    </row>
    <row r="145" spans="2:10" x14ac:dyDescent="0.3">
      <c r="B145" s="86"/>
      <c r="C145" s="86"/>
      <c r="D145" s="86"/>
      <c r="E145" s="86"/>
      <c r="F145" s="86"/>
      <c r="G145" s="86"/>
      <c r="H145" s="86"/>
      <c r="I145" s="86"/>
      <c r="J145" s="86"/>
    </row>
    <row r="146" spans="2:10" x14ac:dyDescent="0.3">
      <c r="B146" s="86"/>
      <c r="C146" s="86"/>
      <c r="D146" s="86"/>
      <c r="E146" s="86"/>
      <c r="F146" s="86"/>
      <c r="G146" s="86"/>
      <c r="H146" s="86"/>
      <c r="I146" s="86"/>
      <c r="J146" s="86"/>
    </row>
    <row r="147" spans="2:10" x14ac:dyDescent="0.3">
      <c r="B147" s="86"/>
      <c r="C147" s="86"/>
      <c r="D147" s="86"/>
      <c r="E147" s="86"/>
      <c r="F147" s="86"/>
      <c r="G147" s="86"/>
      <c r="H147" s="86"/>
      <c r="I147" s="86"/>
      <c r="J147" s="86"/>
    </row>
    <row r="148" spans="2:10" x14ac:dyDescent="0.3">
      <c r="B148" s="86"/>
      <c r="C148" s="86"/>
      <c r="D148" s="86"/>
      <c r="E148" s="86"/>
      <c r="F148" s="86"/>
      <c r="G148" s="86"/>
      <c r="H148" s="86"/>
      <c r="I148" s="86"/>
      <c r="J148" s="86"/>
    </row>
    <row r="149" spans="2:10" x14ac:dyDescent="0.3">
      <c r="B149" s="86"/>
      <c r="C149" s="86"/>
      <c r="D149" s="86"/>
      <c r="E149" s="86"/>
      <c r="F149" s="86"/>
      <c r="G149" s="86"/>
      <c r="H149" s="86"/>
      <c r="I149" s="86"/>
      <c r="J149" s="86"/>
    </row>
    <row r="150" spans="2:10" x14ac:dyDescent="0.3">
      <c r="B150" s="86"/>
      <c r="C150" s="86"/>
      <c r="D150" s="86"/>
      <c r="E150" s="86"/>
      <c r="F150" s="86"/>
      <c r="G150" s="86"/>
      <c r="H150" s="86"/>
      <c r="I150" s="86"/>
      <c r="J150" s="86"/>
    </row>
    <row r="151" spans="2:10" x14ac:dyDescent="0.3">
      <c r="B151" s="86"/>
      <c r="C151" s="86"/>
      <c r="D151" s="86"/>
      <c r="E151" s="86"/>
      <c r="F151" s="86"/>
      <c r="G151" s="86"/>
      <c r="H151" s="86"/>
      <c r="I151" s="86"/>
      <c r="J151" s="86"/>
    </row>
    <row r="152" spans="2:10" x14ac:dyDescent="0.3">
      <c r="B152" s="86"/>
      <c r="C152" s="86"/>
      <c r="D152" s="86"/>
      <c r="E152" s="86"/>
      <c r="F152" s="86"/>
      <c r="G152" s="86"/>
      <c r="H152" s="86"/>
      <c r="I152" s="86"/>
      <c r="J152" s="86"/>
    </row>
    <row r="153" spans="2:10" x14ac:dyDescent="0.3">
      <c r="B153" s="86"/>
      <c r="C153" s="86"/>
      <c r="D153" s="86"/>
      <c r="E153" s="86"/>
      <c r="F153" s="86"/>
      <c r="G153" s="86"/>
      <c r="H153" s="86"/>
      <c r="I153" s="86"/>
      <c r="J153" s="86"/>
    </row>
    <row r="154" spans="2:10" x14ac:dyDescent="0.3">
      <c r="B154" s="86"/>
      <c r="C154" s="86"/>
      <c r="D154" s="86"/>
      <c r="E154" s="86"/>
      <c r="F154" s="86"/>
      <c r="G154" s="86"/>
      <c r="H154" s="86"/>
      <c r="I154" s="86"/>
      <c r="J154" s="86"/>
    </row>
    <row r="155" spans="2:10" x14ac:dyDescent="0.3">
      <c r="B155" s="86"/>
      <c r="C155" s="86"/>
      <c r="D155" s="86"/>
      <c r="E155" s="86"/>
      <c r="F155" s="86"/>
      <c r="G155" s="86"/>
      <c r="H155" s="86"/>
      <c r="I155" s="86"/>
      <c r="J155" s="86"/>
    </row>
    <row r="156" spans="2:10" x14ac:dyDescent="0.3">
      <c r="B156" s="86"/>
      <c r="C156" s="86"/>
      <c r="D156" s="86"/>
      <c r="E156" s="86"/>
      <c r="F156" s="86"/>
      <c r="G156" s="86"/>
      <c r="H156" s="86"/>
      <c r="I156" s="86"/>
      <c r="J156" s="86"/>
    </row>
    <row r="157" spans="2:10" x14ac:dyDescent="0.3">
      <c r="B157" s="86"/>
      <c r="C157" s="86"/>
      <c r="D157" s="86"/>
      <c r="E157" s="86"/>
      <c r="F157" s="86"/>
      <c r="G157" s="86"/>
      <c r="H157" s="86"/>
      <c r="I157" s="86"/>
      <c r="J157" s="86"/>
    </row>
    <row r="158" spans="2:10" x14ac:dyDescent="0.3">
      <c r="B158" s="86"/>
      <c r="C158" s="86"/>
      <c r="D158" s="86"/>
      <c r="E158" s="86"/>
      <c r="F158" s="86"/>
      <c r="G158" s="86"/>
      <c r="H158" s="86"/>
      <c r="I158" s="86"/>
      <c r="J158" s="86"/>
    </row>
    <row r="159" spans="2:10" x14ac:dyDescent="0.3">
      <c r="B159" s="86"/>
      <c r="C159" s="86"/>
      <c r="D159" s="86"/>
      <c r="E159" s="86"/>
      <c r="F159" s="86"/>
      <c r="G159" s="86"/>
      <c r="H159" s="86"/>
      <c r="I159" s="86"/>
      <c r="J159" s="86"/>
    </row>
    <row r="160" spans="2:10" x14ac:dyDescent="0.3">
      <c r="B160" s="86"/>
      <c r="C160" s="86"/>
      <c r="D160" s="86"/>
      <c r="E160" s="86"/>
      <c r="F160" s="86"/>
      <c r="G160" s="86"/>
      <c r="H160" s="86"/>
      <c r="I160" s="86"/>
      <c r="J160" s="86"/>
    </row>
    <row r="161" spans="2:10" x14ac:dyDescent="0.3">
      <c r="B161" s="86"/>
      <c r="C161" s="86"/>
      <c r="D161" s="86"/>
      <c r="E161" s="86"/>
      <c r="F161" s="86"/>
      <c r="G161" s="86"/>
      <c r="H161" s="86"/>
      <c r="I161" s="86"/>
      <c r="J161" s="86"/>
    </row>
    <row r="162" spans="2:10" x14ac:dyDescent="0.3">
      <c r="B162" s="86"/>
      <c r="C162" s="86"/>
      <c r="D162" s="86"/>
      <c r="E162" s="86"/>
      <c r="F162" s="86"/>
      <c r="G162" s="86"/>
      <c r="H162" s="86"/>
      <c r="I162" s="86"/>
      <c r="J162" s="86"/>
    </row>
    <row r="163" spans="2:10" x14ac:dyDescent="0.3">
      <c r="B163" s="86"/>
      <c r="C163" s="86"/>
      <c r="D163" s="86"/>
      <c r="E163" s="86"/>
      <c r="F163" s="86"/>
      <c r="G163" s="86"/>
      <c r="H163" s="86"/>
      <c r="I163" s="86"/>
      <c r="J163" s="86"/>
    </row>
    <row r="164" spans="2:10" x14ac:dyDescent="0.3">
      <c r="B164" s="86"/>
      <c r="C164" s="86"/>
      <c r="D164" s="86"/>
      <c r="E164" s="86"/>
      <c r="F164" s="86"/>
      <c r="G164" s="86"/>
      <c r="H164" s="86"/>
      <c r="I164" s="86"/>
      <c r="J164" s="86"/>
    </row>
    <row r="165" spans="2:10" x14ac:dyDescent="0.3">
      <c r="B165" s="86"/>
      <c r="C165" s="86"/>
      <c r="D165" s="86"/>
      <c r="E165" s="86"/>
      <c r="F165" s="86"/>
      <c r="G165" s="86"/>
      <c r="H165" s="86"/>
      <c r="I165" s="86"/>
      <c r="J165" s="86"/>
    </row>
    <row r="166" spans="2:10" x14ac:dyDescent="0.3">
      <c r="B166" s="86"/>
      <c r="C166" s="86"/>
      <c r="D166" s="86"/>
      <c r="E166" s="86"/>
      <c r="F166" s="86"/>
      <c r="G166" s="86"/>
      <c r="H166" s="86"/>
      <c r="I166" s="86"/>
      <c r="J166" s="86"/>
    </row>
    <row r="167" spans="2:10" x14ac:dyDescent="0.3">
      <c r="B167" s="86"/>
      <c r="C167" s="86"/>
      <c r="D167" s="86"/>
      <c r="E167" s="86"/>
      <c r="F167" s="86"/>
      <c r="G167" s="86"/>
      <c r="H167" s="86"/>
      <c r="I167" s="86"/>
      <c r="J167" s="86"/>
    </row>
    <row r="168" spans="2:10" x14ac:dyDescent="0.3">
      <c r="B168" s="86"/>
      <c r="C168" s="86"/>
      <c r="D168" s="86"/>
      <c r="E168" s="86"/>
      <c r="F168" s="86"/>
      <c r="G168" s="86"/>
      <c r="H168" s="86"/>
      <c r="I168" s="86"/>
      <c r="J168" s="86"/>
    </row>
    <row r="169" spans="2:10" x14ac:dyDescent="0.3">
      <c r="B169" s="86"/>
      <c r="C169" s="86"/>
      <c r="D169" s="86"/>
      <c r="E169" s="86"/>
      <c r="F169" s="86"/>
      <c r="G169" s="86"/>
      <c r="H169" s="86"/>
      <c r="I169" s="86"/>
      <c r="J169" s="86"/>
    </row>
    <row r="170" spans="2:10" x14ac:dyDescent="0.3">
      <c r="B170" s="86"/>
      <c r="C170" s="86"/>
      <c r="D170" s="86"/>
      <c r="E170" s="86"/>
      <c r="F170" s="86"/>
      <c r="G170" s="86"/>
      <c r="H170" s="86"/>
      <c r="I170" s="86"/>
      <c r="J170" s="86"/>
    </row>
    <row r="171" spans="2:10" x14ac:dyDescent="0.3">
      <c r="B171" s="86"/>
      <c r="C171" s="86"/>
      <c r="D171" s="86"/>
      <c r="E171" s="86"/>
      <c r="F171" s="86"/>
      <c r="G171" s="86"/>
      <c r="H171" s="86"/>
      <c r="I171" s="86"/>
      <c r="J171" s="86"/>
    </row>
    <row r="172" spans="2:10" x14ac:dyDescent="0.3">
      <c r="B172" s="86"/>
      <c r="C172" s="86"/>
      <c r="D172" s="86"/>
      <c r="E172" s="86"/>
      <c r="F172" s="86"/>
      <c r="G172" s="86"/>
      <c r="H172" s="86"/>
      <c r="I172" s="86"/>
      <c r="J172" s="86"/>
    </row>
    <row r="173" spans="2:10" x14ac:dyDescent="0.3">
      <c r="B173" s="86"/>
      <c r="C173" s="86"/>
      <c r="D173" s="86"/>
      <c r="E173" s="86"/>
      <c r="F173" s="86"/>
      <c r="G173" s="86"/>
      <c r="H173" s="86"/>
      <c r="I173" s="86"/>
      <c r="J173" s="86"/>
    </row>
    <row r="174" spans="2:10" x14ac:dyDescent="0.3">
      <c r="B174" s="86"/>
      <c r="C174" s="86"/>
      <c r="D174" s="86"/>
      <c r="E174" s="86"/>
      <c r="F174" s="86"/>
      <c r="G174" s="86"/>
      <c r="H174" s="86"/>
      <c r="I174" s="86"/>
      <c r="J174" s="86"/>
    </row>
    <row r="175" spans="2:10" x14ac:dyDescent="0.3">
      <c r="B175" s="86"/>
      <c r="C175" s="86"/>
      <c r="D175" s="86"/>
      <c r="E175" s="86"/>
      <c r="F175" s="86"/>
      <c r="G175" s="86"/>
      <c r="H175" s="86"/>
      <c r="I175" s="86"/>
      <c r="J175" s="86"/>
    </row>
    <row r="176" spans="2:10" x14ac:dyDescent="0.3">
      <c r="B176" s="86"/>
      <c r="C176" s="86"/>
      <c r="D176" s="86"/>
      <c r="E176" s="86"/>
      <c r="F176" s="86"/>
      <c r="G176" s="86"/>
      <c r="H176" s="86"/>
      <c r="I176" s="86"/>
      <c r="J176" s="86"/>
    </row>
    <row r="177" spans="2:10" x14ac:dyDescent="0.3">
      <c r="B177" s="86"/>
      <c r="C177" s="86"/>
      <c r="D177" s="86"/>
      <c r="E177" s="86"/>
      <c r="F177" s="86"/>
      <c r="G177" s="86"/>
      <c r="H177" s="86"/>
      <c r="I177" s="86"/>
      <c r="J177" s="86"/>
    </row>
    <row r="178" spans="2:10" x14ac:dyDescent="0.3">
      <c r="B178" s="86"/>
      <c r="C178" s="86"/>
      <c r="D178" s="86"/>
      <c r="E178" s="86"/>
      <c r="F178" s="86"/>
      <c r="G178" s="86"/>
      <c r="H178" s="86"/>
      <c r="I178" s="86"/>
      <c r="J178" s="86"/>
    </row>
    <row r="179" spans="2:10" x14ac:dyDescent="0.3">
      <c r="B179" s="86"/>
      <c r="C179" s="86"/>
      <c r="D179" s="86"/>
      <c r="E179" s="86"/>
      <c r="F179" s="86"/>
      <c r="G179" s="86"/>
      <c r="H179" s="86"/>
      <c r="I179" s="86"/>
      <c r="J179" s="86"/>
    </row>
    <row r="180" spans="2:10" x14ac:dyDescent="0.3">
      <c r="B180" s="86"/>
      <c r="C180" s="86"/>
      <c r="D180" s="86"/>
      <c r="E180" s="86"/>
      <c r="F180" s="86"/>
      <c r="G180" s="86"/>
      <c r="H180" s="86"/>
      <c r="I180" s="86"/>
      <c r="J180" s="86"/>
    </row>
    <row r="181" spans="2:10" x14ac:dyDescent="0.3">
      <c r="B181" s="86"/>
      <c r="C181" s="86"/>
      <c r="D181" s="86"/>
      <c r="E181" s="86"/>
      <c r="F181" s="86"/>
      <c r="G181" s="86"/>
      <c r="H181" s="86"/>
      <c r="I181" s="86"/>
      <c r="J181" s="86"/>
    </row>
    <row r="182" spans="2:10" x14ac:dyDescent="0.3">
      <c r="B182" s="86"/>
      <c r="C182" s="86"/>
      <c r="D182" s="86"/>
      <c r="E182" s="86"/>
      <c r="F182" s="86"/>
      <c r="G182" s="86"/>
      <c r="H182" s="86"/>
      <c r="I182" s="86"/>
      <c r="J182" s="86"/>
    </row>
    <row r="183" spans="2:10" x14ac:dyDescent="0.3">
      <c r="B183" s="86"/>
      <c r="C183" s="86"/>
      <c r="D183" s="86"/>
      <c r="E183" s="86"/>
      <c r="F183" s="86"/>
      <c r="G183" s="86"/>
      <c r="H183" s="86"/>
      <c r="I183" s="86"/>
      <c r="J183" s="86"/>
    </row>
    <row r="184" spans="2:10" x14ac:dyDescent="0.3">
      <c r="B184" s="86"/>
      <c r="C184" s="86"/>
      <c r="D184" s="86"/>
      <c r="E184" s="86"/>
      <c r="F184" s="86"/>
      <c r="G184" s="86"/>
      <c r="H184" s="86"/>
      <c r="I184" s="86"/>
      <c r="J184" s="86"/>
    </row>
    <row r="185" spans="2:10" x14ac:dyDescent="0.3">
      <c r="B185" s="86"/>
      <c r="C185" s="86"/>
      <c r="D185" s="86"/>
      <c r="E185" s="86"/>
      <c r="F185" s="86"/>
      <c r="G185" s="86"/>
      <c r="H185" s="86"/>
      <c r="I185" s="86"/>
      <c r="J185" s="86"/>
    </row>
    <row r="186" spans="2:10" x14ac:dyDescent="0.3">
      <c r="B186" s="86"/>
      <c r="C186" s="86"/>
      <c r="D186" s="86"/>
      <c r="E186" s="86"/>
      <c r="F186" s="86"/>
      <c r="G186" s="86"/>
      <c r="H186" s="86"/>
      <c r="I186" s="86"/>
      <c r="J186" s="86"/>
    </row>
    <row r="187" spans="2:10" x14ac:dyDescent="0.3">
      <c r="B187" s="86"/>
      <c r="C187" s="86"/>
      <c r="D187" s="86"/>
      <c r="E187" s="86"/>
      <c r="F187" s="86"/>
      <c r="G187" s="86"/>
      <c r="H187" s="86"/>
      <c r="I187" s="86"/>
      <c r="J187" s="86"/>
    </row>
    <row r="188" spans="2:10" x14ac:dyDescent="0.3">
      <c r="B188" s="86"/>
      <c r="C188" s="86"/>
      <c r="D188" s="86"/>
      <c r="E188" s="86"/>
      <c r="F188" s="86"/>
      <c r="G188" s="86"/>
      <c r="H188" s="86"/>
      <c r="I188" s="86"/>
      <c r="J188" s="86"/>
    </row>
    <row r="189" spans="2:10" x14ac:dyDescent="0.3">
      <c r="B189" s="86"/>
      <c r="C189" s="86"/>
      <c r="D189" s="86"/>
      <c r="E189" s="86"/>
      <c r="F189" s="86"/>
      <c r="G189" s="86"/>
      <c r="H189" s="86"/>
      <c r="I189" s="86"/>
      <c r="J189" s="86"/>
    </row>
    <row r="190" spans="2:10" x14ac:dyDescent="0.3">
      <c r="B190" s="86"/>
      <c r="C190" s="86"/>
      <c r="D190" s="86"/>
      <c r="E190" s="86"/>
      <c r="F190" s="86"/>
      <c r="G190" s="86"/>
      <c r="H190" s="86"/>
      <c r="I190" s="86"/>
      <c r="J190" s="86"/>
    </row>
    <row r="191" spans="2:10" x14ac:dyDescent="0.3">
      <c r="B191" s="86"/>
      <c r="C191" s="86"/>
      <c r="D191" s="86"/>
      <c r="E191" s="86"/>
      <c r="F191" s="86"/>
      <c r="G191" s="86"/>
      <c r="H191" s="86"/>
      <c r="I191" s="86"/>
      <c r="J191" s="86"/>
    </row>
    <row r="192" spans="2:10" x14ac:dyDescent="0.3">
      <c r="B192" s="86"/>
      <c r="C192" s="86"/>
      <c r="D192" s="86"/>
      <c r="E192" s="86"/>
      <c r="F192" s="86"/>
      <c r="G192" s="86"/>
      <c r="H192" s="86"/>
      <c r="I192" s="86"/>
      <c r="J192" s="86"/>
    </row>
    <row r="193" spans="2:10" x14ac:dyDescent="0.3">
      <c r="B193" s="86"/>
      <c r="C193" s="86"/>
      <c r="D193" s="86"/>
      <c r="E193" s="86"/>
      <c r="F193" s="86"/>
      <c r="G193" s="86"/>
      <c r="H193" s="86"/>
      <c r="I193" s="86"/>
      <c r="J193" s="86"/>
    </row>
    <row r="194" spans="2:10" x14ac:dyDescent="0.3">
      <c r="B194" s="86"/>
      <c r="C194" s="86"/>
      <c r="D194" s="86"/>
      <c r="E194" s="86"/>
      <c r="F194" s="86"/>
      <c r="G194" s="86"/>
      <c r="H194" s="86"/>
      <c r="I194" s="86"/>
      <c r="J194" s="86"/>
    </row>
    <row r="195" spans="2:10" x14ac:dyDescent="0.3">
      <c r="B195" s="86"/>
      <c r="C195" s="86"/>
      <c r="D195" s="86"/>
      <c r="E195" s="86"/>
      <c r="F195" s="86"/>
      <c r="G195" s="86"/>
      <c r="H195" s="86"/>
      <c r="I195" s="86"/>
      <c r="J195" s="86"/>
    </row>
    <row r="196" spans="2:10" x14ac:dyDescent="0.3">
      <c r="B196" s="86"/>
      <c r="C196" s="86"/>
      <c r="D196" s="86"/>
      <c r="E196" s="86"/>
      <c r="F196" s="86"/>
      <c r="G196" s="86"/>
      <c r="H196" s="86"/>
      <c r="I196" s="86"/>
      <c r="J196" s="86"/>
    </row>
    <row r="197" spans="2:10" x14ac:dyDescent="0.3">
      <c r="B197" s="86"/>
      <c r="C197" s="86"/>
      <c r="D197" s="86"/>
      <c r="E197" s="86"/>
      <c r="F197" s="86"/>
      <c r="G197" s="86"/>
      <c r="H197" s="86"/>
      <c r="I197" s="86"/>
      <c r="J197" s="86"/>
    </row>
    <row r="198" spans="2:10" x14ac:dyDescent="0.3">
      <c r="B198" s="86"/>
      <c r="C198" s="86"/>
      <c r="D198" s="86"/>
      <c r="E198" s="86"/>
      <c r="F198" s="86"/>
      <c r="G198" s="86"/>
      <c r="H198" s="86"/>
      <c r="I198" s="86"/>
      <c r="J198" s="86"/>
    </row>
    <row r="199" spans="2:10" x14ac:dyDescent="0.3">
      <c r="B199" s="86"/>
      <c r="C199" s="86"/>
      <c r="D199" s="86"/>
      <c r="E199" s="86"/>
      <c r="F199" s="86"/>
      <c r="G199" s="86"/>
      <c r="H199" s="86"/>
      <c r="I199" s="86"/>
      <c r="J199" s="86"/>
    </row>
    <row r="200" spans="2:10" x14ac:dyDescent="0.3">
      <c r="B200" s="86"/>
      <c r="C200" s="86"/>
      <c r="D200" s="86"/>
      <c r="E200" s="86"/>
      <c r="F200" s="86"/>
      <c r="G200" s="86"/>
      <c r="H200" s="86"/>
      <c r="I200" s="86"/>
      <c r="J200" s="86"/>
    </row>
  </sheetData>
  <mergeCells count="558">
    <mergeCell ref="A1:O9"/>
    <mergeCell ref="E16:G16"/>
    <mergeCell ref="B16:D16"/>
    <mergeCell ref="H16:J16"/>
    <mergeCell ref="B17:D17"/>
    <mergeCell ref="B18:D18"/>
    <mergeCell ref="B19:D19"/>
    <mergeCell ref="B20:D20"/>
    <mergeCell ref="B11:D11"/>
    <mergeCell ref="E11:G11"/>
    <mergeCell ref="H11:J11"/>
    <mergeCell ref="E17:G17"/>
    <mergeCell ref="E18:G18"/>
    <mergeCell ref="E19:G19"/>
    <mergeCell ref="E20:G20"/>
    <mergeCell ref="H17:J17"/>
    <mergeCell ref="H18:J18"/>
    <mergeCell ref="H19:J19"/>
    <mergeCell ref="H20:J20"/>
    <mergeCell ref="B27:D27"/>
    <mergeCell ref="B28:D28"/>
    <mergeCell ref="B29:D29"/>
    <mergeCell ref="B30:D30"/>
    <mergeCell ref="B31:D31"/>
    <mergeCell ref="B32:D32"/>
    <mergeCell ref="B21:D21"/>
    <mergeCell ref="B22:D22"/>
    <mergeCell ref="B23:D23"/>
    <mergeCell ref="B24:D24"/>
    <mergeCell ref="B25:D25"/>
    <mergeCell ref="B26:D26"/>
    <mergeCell ref="B39:D39"/>
    <mergeCell ref="B40:D40"/>
    <mergeCell ref="B41:D41"/>
    <mergeCell ref="B42:D42"/>
    <mergeCell ref="B43:D43"/>
    <mergeCell ref="B44:D44"/>
    <mergeCell ref="B33:D33"/>
    <mergeCell ref="B34:D34"/>
    <mergeCell ref="B35:D35"/>
    <mergeCell ref="B36:D36"/>
    <mergeCell ref="B37:D37"/>
    <mergeCell ref="B38:D38"/>
    <mergeCell ref="B51:D51"/>
    <mergeCell ref="B52:D52"/>
    <mergeCell ref="B53:D53"/>
    <mergeCell ref="B54:D54"/>
    <mergeCell ref="B55:D55"/>
    <mergeCell ref="B56:D56"/>
    <mergeCell ref="B45:D45"/>
    <mergeCell ref="B46:D46"/>
    <mergeCell ref="B47:D47"/>
    <mergeCell ref="B48:D48"/>
    <mergeCell ref="B49:D49"/>
    <mergeCell ref="B50:D50"/>
    <mergeCell ref="B74:D74"/>
    <mergeCell ref="B63:D63"/>
    <mergeCell ref="B64:D64"/>
    <mergeCell ref="B65:D65"/>
    <mergeCell ref="B66:D66"/>
    <mergeCell ref="B68:D68"/>
    <mergeCell ref="B57:D57"/>
    <mergeCell ref="B58:D58"/>
    <mergeCell ref="B59:D59"/>
    <mergeCell ref="B60:D60"/>
    <mergeCell ref="B61:D61"/>
    <mergeCell ref="B62:D62"/>
    <mergeCell ref="A67:D67"/>
    <mergeCell ref="B69:D69"/>
    <mergeCell ref="B70:D70"/>
    <mergeCell ref="B71:D71"/>
    <mergeCell ref="B72:D72"/>
    <mergeCell ref="B73:D73"/>
    <mergeCell ref="E21:G21"/>
    <mergeCell ref="E22:G22"/>
    <mergeCell ref="E23:G23"/>
    <mergeCell ref="E24:G24"/>
    <mergeCell ref="B93:D93"/>
    <mergeCell ref="B87:D87"/>
    <mergeCell ref="B88:D88"/>
    <mergeCell ref="B90:D90"/>
    <mergeCell ref="B91:D91"/>
    <mergeCell ref="B92:D92"/>
    <mergeCell ref="B81:D81"/>
    <mergeCell ref="B82:D82"/>
    <mergeCell ref="B83:D83"/>
    <mergeCell ref="B84:D84"/>
    <mergeCell ref="B85:D85"/>
    <mergeCell ref="B86:D86"/>
    <mergeCell ref="B75:D75"/>
    <mergeCell ref="B76:D76"/>
    <mergeCell ref="B77:D77"/>
    <mergeCell ref="B78:D78"/>
    <mergeCell ref="E31:G31"/>
    <mergeCell ref="E32:G32"/>
    <mergeCell ref="E33:G33"/>
    <mergeCell ref="E34:G34"/>
    <mergeCell ref="E35:G35"/>
    <mergeCell ref="E36:G36"/>
    <mergeCell ref="E25:G25"/>
    <mergeCell ref="E26:G26"/>
    <mergeCell ref="E27:G27"/>
    <mergeCell ref="E28:G28"/>
    <mergeCell ref="E29:G29"/>
    <mergeCell ref="E30:G30"/>
    <mergeCell ref="E43:G43"/>
    <mergeCell ref="E44:G44"/>
    <mergeCell ref="E45:G45"/>
    <mergeCell ref="E46:G46"/>
    <mergeCell ref="E47:G47"/>
    <mergeCell ref="E48:G48"/>
    <mergeCell ref="E37:G37"/>
    <mergeCell ref="E38:G38"/>
    <mergeCell ref="E39:G39"/>
    <mergeCell ref="E40:G40"/>
    <mergeCell ref="E41:G41"/>
    <mergeCell ref="E42:G42"/>
    <mergeCell ref="E65:G65"/>
    <mergeCell ref="E66:G66"/>
    <mergeCell ref="E55:G55"/>
    <mergeCell ref="E56:G56"/>
    <mergeCell ref="E57:G57"/>
    <mergeCell ref="E58:G58"/>
    <mergeCell ref="E59:G59"/>
    <mergeCell ref="E60:G60"/>
    <mergeCell ref="E49:G49"/>
    <mergeCell ref="E50:G50"/>
    <mergeCell ref="E51:G51"/>
    <mergeCell ref="E52:G52"/>
    <mergeCell ref="E53:G53"/>
    <mergeCell ref="E54:G54"/>
    <mergeCell ref="H21:J21"/>
    <mergeCell ref="H22:J22"/>
    <mergeCell ref="E91:G91"/>
    <mergeCell ref="E92:G92"/>
    <mergeCell ref="E93:G93"/>
    <mergeCell ref="E85:G85"/>
    <mergeCell ref="E86:G86"/>
    <mergeCell ref="E87:G87"/>
    <mergeCell ref="E88:G88"/>
    <mergeCell ref="E90:G90"/>
    <mergeCell ref="E79:G79"/>
    <mergeCell ref="E80:G80"/>
    <mergeCell ref="E81:G81"/>
    <mergeCell ref="E82:G82"/>
    <mergeCell ref="E83:G83"/>
    <mergeCell ref="E84:G84"/>
    <mergeCell ref="E73:G73"/>
    <mergeCell ref="E74:G74"/>
    <mergeCell ref="E75:G75"/>
    <mergeCell ref="E76:G76"/>
    <mergeCell ref="H23:J23"/>
    <mergeCell ref="H24:J24"/>
    <mergeCell ref="H25:J25"/>
    <mergeCell ref="H26:J26"/>
    <mergeCell ref="H27:J27"/>
    <mergeCell ref="H28:J28"/>
    <mergeCell ref="E97:G97"/>
    <mergeCell ref="E98:G98"/>
    <mergeCell ref="E99:G99"/>
    <mergeCell ref="E94:G94"/>
    <mergeCell ref="E95:G95"/>
    <mergeCell ref="E96:G96"/>
    <mergeCell ref="E77:G77"/>
    <mergeCell ref="E78:G78"/>
    <mergeCell ref="E67:G67"/>
    <mergeCell ref="E68:G68"/>
    <mergeCell ref="E69:G69"/>
    <mergeCell ref="E70:G70"/>
    <mergeCell ref="E71:G71"/>
    <mergeCell ref="E72:G72"/>
    <mergeCell ref="E61:G61"/>
    <mergeCell ref="E62:G62"/>
    <mergeCell ref="E63:G63"/>
    <mergeCell ref="E64:G64"/>
    <mergeCell ref="H35:J35"/>
    <mergeCell ref="H36:J36"/>
    <mergeCell ref="H37:J37"/>
    <mergeCell ref="H38:J38"/>
    <mergeCell ref="H39:J39"/>
    <mergeCell ref="H40:J40"/>
    <mergeCell ref="H29:J29"/>
    <mergeCell ref="H30:J30"/>
    <mergeCell ref="H31:J31"/>
    <mergeCell ref="H32:J32"/>
    <mergeCell ref="H33:J33"/>
    <mergeCell ref="H34:J34"/>
    <mergeCell ref="H47:J47"/>
    <mergeCell ref="H48:J48"/>
    <mergeCell ref="H49:J49"/>
    <mergeCell ref="H50:J50"/>
    <mergeCell ref="H51:J51"/>
    <mergeCell ref="H52:J52"/>
    <mergeCell ref="H41:J41"/>
    <mergeCell ref="H42:J42"/>
    <mergeCell ref="H43:J43"/>
    <mergeCell ref="H44:J44"/>
    <mergeCell ref="H45:J45"/>
    <mergeCell ref="H46:J46"/>
    <mergeCell ref="H59:J59"/>
    <mergeCell ref="H60:J60"/>
    <mergeCell ref="H61:J61"/>
    <mergeCell ref="H62:J62"/>
    <mergeCell ref="H63:J63"/>
    <mergeCell ref="H64:J64"/>
    <mergeCell ref="H53:J53"/>
    <mergeCell ref="H54:J54"/>
    <mergeCell ref="H55:J55"/>
    <mergeCell ref="H56:J56"/>
    <mergeCell ref="H57:J57"/>
    <mergeCell ref="H58:J58"/>
    <mergeCell ref="H71:J71"/>
    <mergeCell ref="H72:J72"/>
    <mergeCell ref="H73:J73"/>
    <mergeCell ref="H74:J74"/>
    <mergeCell ref="H75:J75"/>
    <mergeCell ref="H76:J76"/>
    <mergeCell ref="H65:J65"/>
    <mergeCell ref="H66:J66"/>
    <mergeCell ref="H67:J67"/>
    <mergeCell ref="H68:J68"/>
    <mergeCell ref="H69:J69"/>
    <mergeCell ref="H70:J70"/>
    <mergeCell ref="H83:J83"/>
    <mergeCell ref="H84:J84"/>
    <mergeCell ref="H85:J85"/>
    <mergeCell ref="H86:J86"/>
    <mergeCell ref="H87:J87"/>
    <mergeCell ref="H88:J88"/>
    <mergeCell ref="H77:J77"/>
    <mergeCell ref="H78:J78"/>
    <mergeCell ref="H79:J79"/>
    <mergeCell ref="H80:J80"/>
    <mergeCell ref="H81:J81"/>
    <mergeCell ref="H82:J82"/>
    <mergeCell ref="H95:J95"/>
    <mergeCell ref="H96:J96"/>
    <mergeCell ref="H97:J97"/>
    <mergeCell ref="H98:J98"/>
    <mergeCell ref="H99:J99"/>
    <mergeCell ref="H100:J100"/>
    <mergeCell ref="H90:J90"/>
    <mergeCell ref="H91:J91"/>
    <mergeCell ref="H92:J92"/>
    <mergeCell ref="H93:J93"/>
    <mergeCell ref="H94:J94"/>
    <mergeCell ref="B101:D101"/>
    <mergeCell ref="B102:D102"/>
    <mergeCell ref="B103:D103"/>
    <mergeCell ref="B104:D104"/>
    <mergeCell ref="E101:G101"/>
    <mergeCell ref="E102:G102"/>
    <mergeCell ref="E103:G103"/>
    <mergeCell ref="E104:G104"/>
    <mergeCell ref="E100:G100"/>
    <mergeCell ref="B99:D99"/>
    <mergeCell ref="B100:D100"/>
    <mergeCell ref="B94:D94"/>
    <mergeCell ref="B95:D95"/>
    <mergeCell ref="B96:D96"/>
    <mergeCell ref="B97:D97"/>
    <mergeCell ref="B98:D98"/>
    <mergeCell ref="B79:D79"/>
    <mergeCell ref="B80:D80"/>
    <mergeCell ref="B111:D111"/>
    <mergeCell ref="B112:D112"/>
    <mergeCell ref="B113:D113"/>
    <mergeCell ref="B114:D114"/>
    <mergeCell ref="B115:D115"/>
    <mergeCell ref="B116:D116"/>
    <mergeCell ref="B105:D105"/>
    <mergeCell ref="B106:D106"/>
    <mergeCell ref="B107:D107"/>
    <mergeCell ref="B108:D108"/>
    <mergeCell ref="B109:D109"/>
    <mergeCell ref="B110:D110"/>
    <mergeCell ref="B123:D123"/>
    <mergeCell ref="B124:D124"/>
    <mergeCell ref="B125:D125"/>
    <mergeCell ref="B126:D126"/>
    <mergeCell ref="B127:D127"/>
    <mergeCell ref="B128:D128"/>
    <mergeCell ref="B117:D117"/>
    <mergeCell ref="B118:D118"/>
    <mergeCell ref="B119:D119"/>
    <mergeCell ref="B120:D120"/>
    <mergeCell ref="B121:D121"/>
    <mergeCell ref="B122:D122"/>
    <mergeCell ref="B135:D135"/>
    <mergeCell ref="B136:D136"/>
    <mergeCell ref="B137:D137"/>
    <mergeCell ref="B138:D138"/>
    <mergeCell ref="B139:D139"/>
    <mergeCell ref="B140:D140"/>
    <mergeCell ref="B129:D129"/>
    <mergeCell ref="B130:D130"/>
    <mergeCell ref="B131:D131"/>
    <mergeCell ref="B132:D132"/>
    <mergeCell ref="B133:D133"/>
    <mergeCell ref="B134:D134"/>
    <mergeCell ref="B147:D147"/>
    <mergeCell ref="B148:D148"/>
    <mergeCell ref="B149:D149"/>
    <mergeCell ref="B150:D150"/>
    <mergeCell ref="B151:D151"/>
    <mergeCell ref="B152:D152"/>
    <mergeCell ref="B141:D141"/>
    <mergeCell ref="B142:D142"/>
    <mergeCell ref="B143:D143"/>
    <mergeCell ref="B144:D144"/>
    <mergeCell ref="B145:D145"/>
    <mergeCell ref="B146:D146"/>
    <mergeCell ref="B159:D159"/>
    <mergeCell ref="B160:D160"/>
    <mergeCell ref="B161:D161"/>
    <mergeCell ref="B162:D162"/>
    <mergeCell ref="B163:D163"/>
    <mergeCell ref="B164:D164"/>
    <mergeCell ref="B153:D153"/>
    <mergeCell ref="B154:D154"/>
    <mergeCell ref="B155:D155"/>
    <mergeCell ref="B156:D156"/>
    <mergeCell ref="B157:D157"/>
    <mergeCell ref="B158:D158"/>
    <mergeCell ref="B171:D171"/>
    <mergeCell ref="B172:D172"/>
    <mergeCell ref="B173:D173"/>
    <mergeCell ref="B174:D174"/>
    <mergeCell ref="B175:D175"/>
    <mergeCell ref="B176:D176"/>
    <mergeCell ref="B165:D165"/>
    <mergeCell ref="B166:D166"/>
    <mergeCell ref="B167:D167"/>
    <mergeCell ref="B168:D168"/>
    <mergeCell ref="B169:D169"/>
    <mergeCell ref="B170:D170"/>
    <mergeCell ref="B183:D183"/>
    <mergeCell ref="B184:D184"/>
    <mergeCell ref="B185:D185"/>
    <mergeCell ref="B186:D186"/>
    <mergeCell ref="B187:D187"/>
    <mergeCell ref="B188:D188"/>
    <mergeCell ref="B177:D177"/>
    <mergeCell ref="B178:D178"/>
    <mergeCell ref="B179:D179"/>
    <mergeCell ref="B180:D180"/>
    <mergeCell ref="B181:D181"/>
    <mergeCell ref="B182:D182"/>
    <mergeCell ref="B195:D195"/>
    <mergeCell ref="B196:D196"/>
    <mergeCell ref="B197:D197"/>
    <mergeCell ref="B198:D198"/>
    <mergeCell ref="B199:D199"/>
    <mergeCell ref="B200:D200"/>
    <mergeCell ref="B189:D189"/>
    <mergeCell ref="B190:D190"/>
    <mergeCell ref="B191:D191"/>
    <mergeCell ref="B192:D192"/>
    <mergeCell ref="B193:D193"/>
    <mergeCell ref="B194:D194"/>
    <mergeCell ref="E111:G111"/>
    <mergeCell ref="E112:G112"/>
    <mergeCell ref="E113:G113"/>
    <mergeCell ref="E114:G114"/>
    <mergeCell ref="E115:G115"/>
    <mergeCell ref="E116:G116"/>
    <mergeCell ref="E105:G105"/>
    <mergeCell ref="E106:G106"/>
    <mergeCell ref="E107:G107"/>
    <mergeCell ref="E108:G108"/>
    <mergeCell ref="E109:G109"/>
    <mergeCell ref="E110:G110"/>
    <mergeCell ref="E123:G123"/>
    <mergeCell ref="E124:G124"/>
    <mergeCell ref="E125:G125"/>
    <mergeCell ref="E126:G126"/>
    <mergeCell ref="E127:G127"/>
    <mergeCell ref="E128:G128"/>
    <mergeCell ref="E117:G117"/>
    <mergeCell ref="E118:G118"/>
    <mergeCell ref="E119:G119"/>
    <mergeCell ref="E120:G120"/>
    <mergeCell ref="E121:G121"/>
    <mergeCell ref="E122:G122"/>
    <mergeCell ref="E135:G135"/>
    <mergeCell ref="E136:G136"/>
    <mergeCell ref="E137:G137"/>
    <mergeCell ref="E138:G138"/>
    <mergeCell ref="E139:G139"/>
    <mergeCell ref="E140:G140"/>
    <mergeCell ref="E129:G129"/>
    <mergeCell ref="E130:G130"/>
    <mergeCell ref="E131:G131"/>
    <mergeCell ref="E132:G132"/>
    <mergeCell ref="E133:G133"/>
    <mergeCell ref="E134:G134"/>
    <mergeCell ref="E147:G147"/>
    <mergeCell ref="E148:G148"/>
    <mergeCell ref="E149:G149"/>
    <mergeCell ref="E150:G150"/>
    <mergeCell ref="E151:G151"/>
    <mergeCell ref="E152:G152"/>
    <mergeCell ref="E141:G141"/>
    <mergeCell ref="E142:G142"/>
    <mergeCell ref="E143:G143"/>
    <mergeCell ref="E144:G144"/>
    <mergeCell ref="E145:G145"/>
    <mergeCell ref="E146:G146"/>
    <mergeCell ref="E159:G159"/>
    <mergeCell ref="E160:G160"/>
    <mergeCell ref="E161:G161"/>
    <mergeCell ref="E162:G162"/>
    <mergeCell ref="E163:G163"/>
    <mergeCell ref="E164:G164"/>
    <mergeCell ref="E153:G153"/>
    <mergeCell ref="E154:G154"/>
    <mergeCell ref="E155:G155"/>
    <mergeCell ref="E156:G156"/>
    <mergeCell ref="E157:G157"/>
    <mergeCell ref="E158:G158"/>
    <mergeCell ref="E174:G174"/>
    <mergeCell ref="E175:G175"/>
    <mergeCell ref="E176:G176"/>
    <mergeCell ref="E165:G165"/>
    <mergeCell ref="E166:G166"/>
    <mergeCell ref="E167:G167"/>
    <mergeCell ref="E168:G168"/>
    <mergeCell ref="E169:G169"/>
    <mergeCell ref="E170:G170"/>
    <mergeCell ref="E198:G198"/>
    <mergeCell ref="E199:G199"/>
    <mergeCell ref="E200:G200"/>
    <mergeCell ref="E189:G189"/>
    <mergeCell ref="E190:G190"/>
    <mergeCell ref="E191:G191"/>
    <mergeCell ref="E192:G192"/>
    <mergeCell ref="E193:G193"/>
    <mergeCell ref="E194:G194"/>
    <mergeCell ref="H101:J101"/>
    <mergeCell ref="H102:J102"/>
    <mergeCell ref="H103:J103"/>
    <mergeCell ref="H104:J104"/>
    <mergeCell ref="H105:J105"/>
    <mergeCell ref="H106:J106"/>
    <mergeCell ref="E195:G195"/>
    <mergeCell ref="E196:G196"/>
    <mergeCell ref="E197:G197"/>
    <mergeCell ref="E183:G183"/>
    <mergeCell ref="E184:G184"/>
    <mergeCell ref="E185:G185"/>
    <mergeCell ref="E186:G186"/>
    <mergeCell ref="E187:G187"/>
    <mergeCell ref="E188:G188"/>
    <mergeCell ref="E177:G177"/>
    <mergeCell ref="E178:G178"/>
    <mergeCell ref="E179:G179"/>
    <mergeCell ref="E180:G180"/>
    <mergeCell ref="E181:G181"/>
    <mergeCell ref="E182:G182"/>
    <mergeCell ref="E171:G171"/>
    <mergeCell ref="E172:G172"/>
    <mergeCell ref="E173:G173"/>
    <mergeCell ref="H113:J113"/>
    <mergeCell ref="H114:J114"/>
    <mergeCell ref="H115:J115"/>
    <mergeCell ref="H116:J116"/>
    <mergeCell ref="H117:J117"/>
    <mergeCell ref="H118:J118"/>
    <mergeCell ref="H107:J107"/>
    <mergeCell ref="H108:J108"/>
    <mergeCell ref="H109:J109"/>
    <mergeCell ref="H110:J110"/>
    <mergeCell ref="H111:J111"/>
    <mergeCell ref="H112:J112"/>
    <mergeCell ref="H125:J125"/>
    <mergeCell ref="H126:J126"/>
    <mergeCell ref="H127:J127"/>
    <mergeCell ref="H128:J128"/>
    <mergeCell ref="H129:J129"/>
    <mergeCell ref="H130:J130"/>
    <mergeCell ref="H119:J119"/>
    <mergeCell ref="H120:J120"/>
    <mergeCell ref="H121:J121"/>
    <mergeCell ref="H122:J122"/>
    <mergeCell ref="H123:J123"/>
    <mergeCell ref="H124:J124"/>
    <mergeCell ref="H137:J137"/>
    <mergeCell ref="H138:J138"/>
    <mergeCell ref="H139:J139"/>
    <mergeCell ref="H140:J140"/>
    <mergeCell ref="H141:J141"/>
    <mergeCell ref="H142:J142"/>
    <mergeCell ref="H131:J131"/>
    <mergeCell ref="H132:J132"/>
    <mergeCell ref="H133:J133"/>
    <mergeCell ref="H134:J134"/>
    <mergeCell ref="H135:J135"/>
    <mergeCell ref="H136:J136"/>
    <mergeCell ref="H149:J149"/>
    <mergeCell ref="H150:J150"/>
    <mergeCell ref="H151:J151"/>
    <mergeCell ref="H152:J152"/>
    <mergeCell ref="H153:J153"/>
    <mergeCell ref="H154:J154"/>
    <mergeCell ref="H143:J143"/>
    <mergeCell ref="H144:J144"/>
    <mergeCell ref="H145:J145"/>
    <mergeCell ref="H146:J146"/>
    <mergeCell ref="H147:J147"/>
    <mergeCell ref="H148:J148"/>
    <mergeCell ref="H161:J161"/>
    <mergeCell ref="H162:J162"/>
    <mergeCell ref="H163:J163"/>
    <mergeCell ref="H164:J164"/>
    <mergeCell ref="H165:J165"/>
    <mergeCell ref="H166:J166"/>
    <mergeCell ref="H155:J155"/>
    <mergeCell ref="H156:J156"/>
    <mergeCell ref="H157:J157"/>
    <mergeCell ref="H158:J158"/>
    <mergeCell ref="H159:J159"/>
    <mergeCell ref="H160:J160"/>
    <mergeCell ref="H173:J173"/>
    <mergeCell ref="H174:J174"/>
    <mergeCell ref="H175:J175"/>
    <mergeCell ref="H176:J176"/>
    <mergeCell ref="H177:J177"/>
    <mergeCell ref="H178:J178"/>
    <mergeCell ref="H167:J167"/>
    <mergeCell ref="H168:J168"/>
    <mergeCell ref="H169:J169"/>
    <mergeCell ref="H170:J170"/>
    <mergeCell ref="H171:J171"/>
    <mergeCell ref="H172:J172"/>
    <mergeCell ref="H197:J197"/>
    <mergeCell ref="H198:J198"/>
    <mergeCell ref="H199:J199"/>
    <mergeCell ref="H200:J200"/>
    <mergeCell ref="B89:J89"/>
    <mergeCell ref="A89:A90"/>
    <mergeCell ref="H191:J191"/>
    <mergeCell ref="H192:J192"/>
    <mergeCell ref="H193:J193"/>
    <mergeCell ref="H194:J194"/>
    <mergeCell ref="H195:J195"/>
    <mergeCell ref="H196:J196"/>
    <mergeCell ref="H185:J185"/>
    <mergeCell ref="H186:J186"/>
    <mergeCell ref="H187:J187"/>
    <mergeCell ref="H188:J188"/>
    <mergeCell ref="H189:J189"/>
    <mergeCell ref="H190:J190"/>
    <mergeCell ref="H179:J179"/>
    <mergeCell ref="H180:J180"/>
    <mergeCell ref="H181:J181"/>
    <mergeCell ref="H182:J182"/>
    <mergeCell ref="H183:J183"/>
    <mergeCell ref="H184:J184"/>
  </mergeCells>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78620-A364-4351-AF6D-91F2A3DA2C71}">
  <dimension ref="A1:AN63"/>
  <sheetViews>
    <sheetView topLeftCell="A14" workbookViewId="0">
      <selection activeCell="J12" sqref="J12"/>
    </sheetView>
  </sheetViews>
  <sheetFormatPr defaultRowHeight="14.4" x14ac:dyDescent="0.3"/>
  <cols>
    <col min="1" max="1" width="19.6640625" customWidth="1"/>
    <col min="2" max="2" width="12.88671875" bestFit="1" customWidth="1"/>
    <col min="3" max="4" width="8.5546875" bestFit="1" customWidth="1"/>
    <col min="5" max="5" width="13.33203125" bestFit="1" customWidth="1"/>
    <col min="6" max="6" width="16.6640625" bestFit="1" customWidth="1"/>
    <col min="7" max="7" width="11.5546875" bestFit="1" customWidth="1"/>
    <col min="8" max="8" width="10.33203125" customWidth="1"/>
  </cols>
  <sheetData>
    <row r="1" spans="1:7" x14ac:dyDescent="0.3">
      <c r="A1" s="102" t="s">
        <v>17</v>
      </c>
      <c r="B1" s="102"/>
      <c r="C1" s="102"/>
      <c r="D1" s="102"/>
      <c r="E1" s="102"/>
      <c r="F1" s="102"/>
    </row>
    <row r="2" spans="1:7" x14ac:dyDescent="0.3">
      <c r="A2" s="102"/>
      <c r="B2" s="102"/>
      <c r="C2" s="102"/>
      <c r="D2" s="102"/>
      <c r="E2" s="102"/>
      <c r="F2" s="102"/>
    </row>
    <row r="3" spans="1:7" x14ac:dyDescent="0.3">
      <c r="A3" s="102"/>
      <c r="B3" s="102"/>
      <c r="C3" s="102"/>
      <c r="D3" s="102"/>
      <c r="E3" s="102"/>
      <c r="F3" s="102"/>
    </row>
    <row r="4" spans="1:7" x14ac:dyDescent="0.3">
      <c r="A4" s="102"/>
      <c r="B4" s="102"/>
      <c r="C4" s="102"/>
      <c r="D4" s="102"/>
      <c r="E4" s="102"/>
      <c r="F4" s="102"/>
    </row>
    <row r="5" spans="1:7" x14ac:dyDescent="0.3">
      <c r="A5" s="102"/>
      <c r="B5" s="102"/>
      <c r="C5" s="102"/>
      <c r="D5" s="102"/>
      <c r="E5" s="102"/>
      <c r="F5" s="102"/>
    </row>
    <row r="7" spans="1:7" x14ac:dyDescent="0.3">
      <c r="A7" s="3" t="s">
        <v>0</v>
      </c>
      <c r="B7" s="3" t="s">
        <v>4</v>
      </c>
      <c r="C7" s="3" t="s">
        <v>5</v>
      </c>
      <c r="D7" s="3" t="s">
        <v>6</v>
      </c>
      <c r="E7" s="3" t="s">
        <v>7</v>
      </c>
      <c r="F7" s="3" t="s">
        <v>8</v>
      </c>
      <c r="G7" s="3" t="s">
        <v>9</v>
      </c>
    </row>
    <row r="8" spans="1:7" ht="28.8" x14ac:dyDescent="0.3">
      <c r="A8" s="4" t="s">
        <v>3</v>
      </c>
      <c r="B8" s="5">
        <v>5</v>
      </c>
      <c r="C8" s="5">
        <v>2</v>
      </c>
      <c r="D8" s="5">
        <v>6</v>
      </c>
      <c r="E8" s="5">
        <v>5</v>
      </c>
      <c r="F8" s="5">
        <v>7</v>
      </c>
      <c r="G8" s="5">
        <v>4</v>
      </c>
    </row>
    <row r="9" spans="1:7" ht="57.6" x14ac:dyDescent="0.3">
      <c r="A9" s="4" t="s">
        <v>1</v>
      </c>
      <c r="B9" s="5" t="s">
        <v>10</v>
      </c>
      <c r="C9" s="5" t="s">
        <v>10</v>
      </c>
      <c r="D9" s="5" t="s">
        <v>10</v>
      </c>
      <c r="E9" s="5" t="s">
        <v>11</v>
      </c>
      <c r="F9" s="6" t="s">
        <v>12</v>
      </c>
      <c r="G9" s="6" t="s">
        <v>13</v>
      </c>
    </row>
    <row r="10" spans="1:7" x14ac:dyDescent="0.3">
      <c r="A10" s="3" t="s">
        <v>2</v>
      </c>
      <c r="B10" s="5" t="s">
        <v>14</v>
      </c>
      <c r="C10" s="5" t="s">
        <v>15</v>
      </c>
      <c r="D10" s="5" t="s">
        <v>11</v>
      </c>
      <c r="E10" s="5" t="s">
        <v>15</v>
      </c>
      <c r="F10" s="5" t="s">
        <v>16</v>
      </c>
      <c r="G10" s="5" t="s">
        <v>15</v>
      </c>
    </row>
    <row r="12" spans="1:7" x14ac:dyDescent="0.3">
      <c r="A12" s="80" t="s">
        <v>21</v>
      </c>
      <c r="B12" s="80"/>
      <c r="C12" s="80"/>
      <c r="D12" s="80"/>
      <c r="E12" s="80"/>
      <c r="F12" s="80"/>
      <c r="G12" s="80"/>
    </row>
    <row r="13" spans="1:7" x14ac:dyDescent="0.3">
      <c r="A13" s="80"/>
      <c r="B13" s="80"/>
      <c r="C13" s="80"/>
      <c r="D13" s="80"/>
      <c r="E13" s="80"/>
      <c r="F13" s="80"/>
      <c r="G13" s="80"/>
    </row>
    <row r="14" spans="1:7" x14ac:dyDescent="0.3">
      <c r="A14" s="102" t="s">
        <v>91</v>
      </c>
      <c r="B14" s="102"/>
      <c r="C14" s="102"/>
      <c r="D14" s="102"/>
      <c r="E14" s="102"/>
      <c r="F14" s="102"/>
      <c r="G14" s="102"/>
    </row>
    <row r="15" spans="1:7" x14ac:dyDescent="0.3">
      <c r="A15" s="102"/>
      <c r="B15" s="102"/>
      <c r="C15" s="102"/>
      <c r="D15" s="102"/>
      <c r="E15" s="102"/>
      <c r="F15" s="102"/>
      <c r="G15" s="102"/>
    </row>
    <row r="17" spans="1:6" x14ac:dyDescent="0.3">
      <c r="A17" s="3" t="s">
        <v>0</v>
      </c>
      <c r="B17" s="3" t="s">
        <v>5</v>
      </c>
      <c r="C17" s="3" t="s">
        <v>6</v>
      </c>
      <c r="D17" s="3" t="s">
        <v>7</v>
      </c>
      <c r="E17" s="3" t="s">
        <v>8</v>
      </c>
      <c r="F17" s="3" t="s">
        <v>9</v>
      </c>
    </row>
    <row r="18" spans="1:6" x14ac:dyDescent="0.3">
      <c r="A18" s="4" t="s">
        <v>18</v>
      </c>
      <c r="B18" s="5">
        <v>2</v>
      </c>
      <c r="C18" s="5">
        <v>6</v>
      </c>
      <c r="D18" s="5">
        <v>5</v>
      </c>
      <c r="E18" s="5">
        <v>7</v>
      </c>
      <c r="F18" s="5">
        <v>4</v>
      </c>
    </row>
    <row r="19" spans="1:6" ht="43.2" x14ac:dyDescent="0.3">
      <c r="A19" s="4" t="s">
        <v>19</v>
      </c>
      <c r="B19" s="5" t="s">
        <v>10</v>
      </c>
      <c r="C19" s="5" t="s">
        <v>10</v>
      </c>
      <c r="D19" s="5" t="s">
        <v>11</v>
      </c>
      <c r="E19" s="6" t="s">
        <v>12</v>
      </c>
      <c r="F19" s="6" t="s">
        <v>13</v>
      </c>
    </row>
    <row r="20" spans="1:6" x14ac:dyDescent="0.3">
      <c r="A20" s="3" t="s">
        <v>20</v>
      </c>
      <c r="B20" s="5" t="s">
        <v>15</v>
      </c>
      <c r="C20" s="5" t="s">
        <v>11</v>
      </c>
      <c r="D20" s="5" t="s">
        <v>15</v>
      </c>
      <c r="E20" s="5" t="s">
        <v>16</v>
      </c>
      <c r="F20" s="5" t="s">
        <v>15</v>
      </c>
    </row>
    <row r="23" spans="1:6" x14ac:dyDescent="0.3">
      <c r="A23" s="3" t="s">
        <v>0</v>
      </c>
      <c r="B23" s="3" t="s">
        <v>5</v>
      </c>
      <c r="C23" s="3" t="s">
        <v>6</v>
      </c>
      <c r="D23" s="3" t="s">
        <v>7</v>
      </c>
      <c r="E23" s="3" t="s">
        <v>8</v>
      </c>
      <c r="F23" s="3" t="s">
        <v>9</v>
      </c>
    </row>
    <row r="24" spans="1:6" x14ac:dyDescent="0.3">
      <c r="A24" s="4" t="s">
        <v>18</v>
      </c>
      <c r="B24" s="23">
        <f>B18/MAX($B$18:$F$18)</f>
        <v>0.2857142857142857</v>
      </c>
      <c r="C24" s="23">
        <f>C18/MAX(B18:F18)</f>
        <v>0.8571428571428571</v>
      </c>
      <c r="D24" s="23">
        <f>D18/MAX(B18:F18)</f>
        <v>0.7142857142857143</v>
      </c>
      <c r="E24" s="23">
        <f>E18/MAX(B18:F18)</f>
        <v>1</v>
      </c>
      <c r="F24" s="23">
        <f>F18/MAX(B18:F18)</f>
        <v>0.5714285714285714</v>
      </c>
    </row>
    <row r="25" spans="1:6" x14ac:dyDescent="0.3">
      <c r="A25" s="4" t="s">
        <v>19</v>
      </c>
      <c r="B25" s="5">
        <v>0.75</v>
      </c>
      <c r="C25" s="5">
        <v>0.75</v>
      </c>
      <c r="D25" s="5">
        <v>0.5</v>
      </c>
      <c r="E25" s="6">
        <v>0.4</v>
      </c>
      <c r="F25" s="6">
        <v>0.6</v>
      </c>
    </row>
    <row r="26" spans="1:6" x14ac:dyDescent="0.3">
      <c r="A26" s="3" t="s">
        <v>20</v>
      </c>
      <c r="B26" s="5">
        <v>0.75</v>
      </c>
      <c r="C26" s="5">
        <v>0.55000000000000004</v>
      </c>
      <c r="D26" s="5">
        <v>0.75</v>
      </c>
      <c r="E26" s="5">
        <v>0.55000000000000004</v>
      </c>
      <c r="F26" s="5">
        <v>0.75</v>
      </c>
    </row>
    <row r="29" spans="1:6" x14ac:dyDescent="0.3">
      <c r="A29" s="3" t="s">
        <v>106</v>
      </c>
      <c r="B29" s="3" t="s">
        <v>5</v>
      </c>
      <c r="C29" s="3" t="s">
        <v>6</v>
      </c>
      <c r="D29" s="3" t="s">
        <v>7</v>
      </c>
      <c r="E29" s="3" t="s">
        <v>8</v>
      </c>
      <c r="F29" s="3" t="s">
        <v>9</v>
      </c>
    </row>
    <row r="30" spans="1:6" x14ac:dyDescent="0.3">
      <c r="A30" s="4" t="s">
        <v>107</v>
      </c>
      <c r="B30" s="23">
        <f>MIN(B24:B26)</f>
        <v>0.2857142857142857</v>
      </c>
      <c r="C30" s="23">
        <f t="shared" ref="C30:F30" si="0">MIN(C24:C26)</f>
        <v>0.55000000000000004</v>
      </c>
      <c r="D30" s="23">
        <f t="shared" si="0"/>
        <v>0.5</v>
      </c>
      <c r="E30" s="23">
        <f t="shared" si="0"/>
        <v>0.4</v>
      </c>
      <c r="F30" s="23">
        <f t="shared" si="0"/>
        <v>0.5714285714285714</v>
      </c>
    </row>
    <row r="31" spans="1:6" x14ac:dyDescent="0.3">
      <c r="A31" s="3" t="s">
        <v>108</v>
      </c>
      <c r="B31" s="24" t="b">
        <f>B30&gt;$A$32</f>
        <v>0</v>
      </c>
      <c r="C31" s="1" t="b">
        <f t="shared" ref="C31:F31" si="1">C30&gt;$A$32</f>
        <v>1</v>
      </c>
      <c r="D31" s="1" t="b">
        <f t="shared" si="1"/>
        <v>1</v>
      </c>
      <c r="E31" s="24" t="b">
        <f t="shared" si="1"/>
        <v>0</v>
      </c>
      <c r="F31" s="1" t="b">
        <f t="shared" si="1"/>
        <v>1</v>
      </c>
    </row>
    <row r="32" spans="1:6" x14ac:dyDescent="0.3">
      <c r="A32" s="2">
        <v>0.45</v>
      </c>
    </row>
    <row r="34" spans="1:40" x14ac:dyDescent="0.3">
      <c r="A34" s="16"/>
      <c r="B34" s="103" t="s">
        <v>127</v>
      </c>
      <c r="C34" s="103"/>
      <c r="D34" s="103"/>
      <c r="E34" s="103"/>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6" spans="1:40" x14ac:dyDescent="0.3">
      <c r="A36" s="3" t="s">
        <v>0</v>
      </c>
      <c r="B36" s="3" t="s">
        <v>6</v>
      </c>
      <c r="C36" s="3" t="s">
        <v>7</v>
      </c>
      <c r="D36" s="3" t="s">
        <v>9</v>
      </c>
      <c r="F36" s="3" t="s">
        <v>104</v>
      </c>
      <c r="G36" s="3" t="s">
        <v>105</v>
      </c>
    </row>
    <row r="37" spans="1:40" x14ac:dyDescent="0.3">
      <c r="A37" s="4" t="s">
        <v>18</v>
      </c>
      <c r="B37" s="23">
        <f>C18/MAX(B18:F18)</f>
        <v>0.8571428571428571</v>
      </c>
      <c r="C37" s="23">
        <f>D18/MAX(B18:F18)</f>
        <v>0.7142857142857143</v>
      </c>
      <c r="D37" s="23">
        <f>F18/MAX(B18:F18)</f>
        <v>0.5714285714285714</v>
      </c>
      <c r="F37" s="2">
        <v>3</v>
      </c>
      <c r="G37" s="2">
        <v>3</v>
      </c>
    </row>
    <row r="38" spans="1:40" x14ac:dyDescent="0.3">
      <c r="A38" s="4" t="s">
        <v>19</v>
      </c>
      <c r="B38" s="5">
        <v>0.75</v>
      </c>
      <c r="C38" s="5">
        <v>0.5</v>
      </c>
      <c r="D38" s="6">
        <v>0.6</v>
      </c>
    </row>
    <row r="39" spans="1:40" x14ac:dyDescent="0.3">
      <c r="A39" s="3" t="s">
        <v>20</v>
      </c>
      <c r="B39" s="5">
        <v>0.55000000000000004</v>
      </c>
      <c r="C39" s="5">
        <v>0.75</v>
      </c>
      <c r="D39" s="5">
        <v>0.75</v>
      </c>
    </row>
    <row r="42" spans="1:40" x14ac:dyDescent="0.3">
      <c r="A42" s="1" t="s">
        <v>109</v>
      </c>
      <c r="B42" s="26">
        <f>1/G37*(SUM(B37:D37))</f>
        <v>0.71428571428571419</v>
      </c>
      <c r="D42" s="1" t="s">
        <v>112</v>
      </c>
      <c r="E42" s="25">
        <f>1/(G37*B42)*(ABS(C37-B42)+ABS(B37-B42)+ABS(D37-B42))</f>
        <v>0.13333333333333341</v>
      </c>
      <c r="G42" s="1" t="s">
        <v>116</v>
      </c>
      <c r="H42" s="26">
        <f>E42/$E$45</f>
        <v>0.32715117532887655</v>
      </c>
    </row>
    <row r="43" spans="1:40" x14ac:dyDescent="0.3">
      <c r="A43" s="1" t="s">
        <v>110</v>
      </c>
      <c r="B43" s="26">
        <f>1/G37*(SUM(B38:D38))</f>
        <v>0.6166666666666667</v>
      </c>
      <c r="D43" s="1" t="s">
        <v>113</v>
      </c>
      <c r="E43" s="25">
        <f>1/(G37*B43)*(ABS(C38-B43)+ABS(B38-B43)+ABS(D38-B43))</f>
        <v>0.14414414414414414</v>
      </c>
      <c r="G43" s="1" t="s">
        <v>117</v>
      </c>
      <c r="H43" s="26">
        <f>E43/$E$45</f>
        <v>0.35367694630148794</v>
      </c>
    </row>
    <row r="44" spans="1:40" x14ac:dyDescent="0.3">
      <c r="A44" s="1" t="s">
        <v>111</v>
      </c>
      <c r="B44" s="26">
        <f>1/G37*(SUM(B39:D39))</f>
        <v>0.68333333333333324</v>
      </c>
      <c r="D44" s="1" t="s">
        <v>114</v>
      </c>
      <c r="E44" s="25">
        <f>1/(G37*B44)*(ABS(C39-B44)+ABS(B39-B44)+ABS(D39-B44))</f>
        <v>0.13008130081300817</v>
      </c>
      <c r="G44" s="1" t="s">
        <v>118</v>
      </c>
      <c r="H44" s="26">
        <f t="shared" ref="H44" si="2">E44/$E$45</f>
        <v>0.31917187836963556</v>
      </c>
    </row>
    <row r="45" spans="1:40" x14ac:dyDescent="0.3">
      <c r="D45" s="1" t="s">
        <v>115</v>
      </c>
      <c r="E45" s="25">
        <f>SUM(E42:E44)</f>
        <v>0.4075587782904857</v>
      </c>
    </row>
    <row r="47" spans="1:40" x14ac:dyDescent="0.3">
      <c r="A47" s="3" t="s">
        <v>0</v>
      </c>
      <c r="B47" s="3" t="s">
        <v>6</v>
      </c>
      <c r="C47" s="3" t="s">
        <v>7</v>
      </c>
      <c r="D47" s="3" t="s">
        <v>9</v>
      </c>
    </row>
    <row r="48" spans="1:40" x14ac:dyDescent="0.3">
      <c r="A48" s="4" t="s">
        <v>18</v>
      </c>
      <c r="B48" s="23">
        <f>H42/B37</f>
        <v>0.38167637121702269</v>
      </c>
      <c r="C48" s="23">
        <f>$H$42/C37</f>
        <v>0.45801164546042716</v>
      </c>
      <c r="D48" s="23">
        <f>$H$42/D37</f>
        <v>0.57251455682553398</v>
      </c>
    </row>
    <row r="49" spans="1:40" x14ac:dyDescent="0.3">
      <c r="A49" s="4" t="s">
        <v>19</v>
      </c>
      <c r="B49" s="23">
        <f>$H$43/B38</f>
        <v>0.47156926173531727</v>
      </c>
      <c r="C49" s="23">
        <f t="shared" ref="C49:D49" si="3">$H$43/C38</f>
        <v>0.70735389260297588</v>
      </c>
      <c r="D49" s="23">
        <f t="shared" si="3"/>
        <v>0.5894615771691466</v>
      </c>
    </row>
    <row r="50" spans="1:40" x14ac:dyDescent="0.3">
      <c r="A50" s="3" t="s">
        <v>20</v>
      </c>
      <c r="B50" s="23">
        <f>$H$44/B39</f>
        <v>0.58031250612661012</v>
      </c>
      <c r="C50" s="23">
        <f t="shared" ref="C50:D50" si="4">$H$44/C39</f>
        <v>0.42556250449284744</v>
      </c>
      <c r="D50" s="23">
        <f t="shared" si="4"/>
        <v>0.42556250449284744</v>
      </c>
    </row>
    <row r="51" spans="1:40" x14ac:dyDescent="0.3">
      <c r="A51" s="3" t="s">
        <v>119</v>
      </c>
      <c r="B51" s="23">
        <f>SUM(B48:B50)</f>
        <v>1.43355813907895</v>
      </c>
      <c r="C51" s="27">
        <f t="shared" ref="C51:D51" si="5">SUM(C48:C50)</f>
        <v>1.5909280425562506</v>
      </c>
      <c r="D51" s="22">
        <f t="shared" si="5"/>
        <v>1.5875386384875281</v>
      </c>
    </row>
    <row r="53" spans="1:40" x14ac:dyDescent="0.3">
      <c r="A53" s="16"/>
      <c r="B53" s="103" t="s">
        <v>128</v>
      </c>
      <c r="C53" s="103"/>
      <c r="D53" s="103"/>
      <c r="E53" s="103"/>
      <c r="F53" s="103"/>
      <c r="G53" s="103"/>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row>
    <row r="55" spans="1:40" x14ac:dyDescent="0.3">
      <c r="A55" s="3" t="s">
        <v>0</v>
      </c>
      <c r="B55" s="3" t="s">
        <v>6</v>
      </c>
      <c r="C55" s="3" t="s">
        <v>9</v>
      </c>
      <c r="E55" s="3" t="s">
        <v>115</v>
      </c>
      <c r="F55" s="3" t="s">
        <v>120</v>
      </c>
      <c r="G55" s="3" t="s">
        <v>121</v>
      </c>
      <c r="H55" s="3" t="s">
        <v>25</v>
      </c>
    </row>
    <row r="56" spans="1:40" x14ac:dyDescent="0.3">
      <c r="A56" s="4" t="s">
        <v>18</v>
      </c>
      <c r="B56" s="23">
        <v>6</v>
      </c>
      <c r="C56" s="23">
        <v>4</v>
      </c>
      <c r="E56" s="28">
        <v>2</v>
      </c>
      <c r="F56" s="28">
        <f>MAX(E56:E58)+1-E56</f>
        <v>2</v>
      </c>
      <c r="G56" s="28">
        <f>MAX(B56:C56)/MIN(B56:C56)</f>
        <v>1.5</v>
      </c>
      <c r="H56" s="28">
        <f>POWER(G56,F56)</f>
        <v>2.25</v>
      </c>
    </row>
    <row r="57" spans="1:40" x14ac:dyDescent="0.3">
      <c r="A57" s="4" t="s">
        <v>19</v>
      </c>
      <c r="B57" s="5">
        <v>0.75</v>
      </c>
      <c r="C57" s="6">
        <v>0.6</v>
      </c>
      <c r="E57" s="28">
        <v>3</v>
      </c>
      <c r="F57" s="28">
        <f>MAX(E56:E58)+1-E57</f>
        <v>1</v>
      </c>
      <c r="G57" s="28">
        <f t="shared" ref="G57:G58" si="6">MAX(B57:C57)/MIN(B57:C57)</f>
        <v>1.25</v>
      </c>
      <c r="H57" s="28">
        <f t="shared" ref="H57:H58" si="7">POWER(G57,F57)</f>
        <v>1.25</v>
      </c>
    </row>
    <row r="58" spans="1:40" x14ac:dyDescent="0.3">
      <c r="A58" s="3" t="s">
        <v>20</v>
      </c>
      <c r="B58" s="5">
        <v>0.55000000000000004</v>
      </c>
      <c r="C58" s="5">
        <v>0.75</v>
      </c>
      <c r="E58" s="28">
        <v>1</v>
      </c>
      <c r="F58" s="28">
        <f>MAX(E56:E58)+1-E58</f>
        <v>3</v>
      </c>
      <c r="G58" s="23">
        <f t="shared" si="6"/>
        <v>1.3636363636363635</v>
      </c>
      <c r="H58" s="23">
        <f t="shared" si="7"/>
        <v>2.5356874530428244</v>
      </c>
    </row>
    <row r="61" spans="1:40" x14ac:dyDescent="0.3">
      <c r="E61" s="1" t="s">
        <v>123</v>
      </c>
      <c r="F61" s="26">
        <f>H56*H57</f>
        <v>2.8125</v>
      </c>
    </row>
    <row r="62" spans="1:40" x14ac:dyDescent="0.3">
      <c r="E62" s="1" t="s">
        <v>122</v>
      </c>
      <c r="F62" s="29">
        <f>H58</f>
        <v>2.5356874530428244</v>
      </c>
    </row>
    <row r="63" spans="1:40" x14ac:dyDescent="0.3">
      <c r="E63" s="1" t="s">
        <v>124</v>
      </c>
      <c r="F63" s="26">
        <f>F61/F62</f>
        <v>1.1091666666666669</v>
      </c>
    </row>
  </sheetData>
  <mergeCells count="5">
    <mergeCell ref="A1:F5"/>
    <mergeCell ref="A12:G13"/>
    <mergeCell ref="A14:G15"/>
    <mergeCell ref="B34:E34"/>
    <mergeCell ref="B53:G53"/>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A667-578E-4BED-9138-63CF18441182}">
  <dimension ref="A1:BJ39"/>
  <sheetViews>
    <sheetView workbookViewId="0">
      <selection sqref="A1:G4"/>
    </sheetView>
  </sheetViews>
  <sheetFormatPr defaultRowHeight="14.4" x14ac:dyDescent="0.3"/>
  <cols>
    <col min="1" max="1" width="13.6640625" customWidth="1"/>
    <col min="2" max="2" width="8.77734375" customWidth="1"/>
    <col min="3" max="3" width="7.5546875" bestFit="1" customWidth="1"/>
    <col min="4" max="4" width="8.21875" bestFit="1" customWidth="1"/>
    <col min="5" max="5" width="7.5546875" bestFit="1" customWidth="1"/>
    <col min="6" max="6" width="8.44140625" customWidth="1"/>
    <col min="7" max="7" width="5.109375" customWidth="1"/>
    <col min="8" max="8" width="5.21875" customWidth="1"/>
    <col min="9" max="11" width="5.109375" customWidth="1"/>
    <col min="12" max="12" width="5.6640625" customWidth="1"/>
    <col min="13" max="13" width="4.44140625" customWidth="1"/>
  </cols>
  <sheetData>
    <row r="1" spans="1:13" ht="14.4" customHeight="1" x14ac:dyDescent="0.3">
      <c r="A1" s="80" t="s">
        <v>129</v>
      </c>
      <c r="B1" s="80"/>
      <c r="C1" s="80"/>
      <c r="D1" s="80"/>
      <c r="E1" s="80"/>
      <c r="F1" s="80"/>
      <c r="G1" s="80"/>
    </row>
    <row r="2" spans="1:13" x14ac:dyDescent="0.3">
      <c r="A2" s="80"/>
      <c r="B2" s="80"/>
      <c r="C2" s="80"/>
      <c r="D2" s="80"/>
      <c r="E2" s="80"/>
      <c r="F2" s="80"/>
      <c r="G2" s="80"/>
    </row>
    <row r="3" spans="1:13" x14ac:dyDescent="0.3">
      <c r="A3" s="80"/>
      <c r="B3" s="80"/>
      <c r="C3" s="80"/>
      <c r="D3" s="80"/>
      <c r="E3" s="80"/>
      <c r="F3" s="80"/>
      <c r="G3" s="80"/>
    </row>
    <row r="4" spans="1:13" x14ac:dyDescent="0.3">
      <c r="A4" s="80"/>
      <c r="B4" s="80"/>
      <c r="C4" s="80"/>
      <c r="D4" s="80"/>
      <c r="E4" s="80"/>
      <c r="F4" s="80"/>
      <c r="G4" s="80"/>
    </row>
    <row r="5" spans="1:13" x14ac:dyDescent="0.3">
      <c r="A5" s="12"/>
      <c r="B5" s="12"/>
      <c r="C5" s="12"/>
      <c r="D5" s="12"/>
    </row>
    <row r="6" spans="1:13" x14ac:dyDescent="0.3">
      <c r="A6" s="12"/>
      <c r="B6" s="12"/>
      <c r="C6" s="12"/>
      <c r="D6" s="12"/>
    </row>
    <row r="7" spans="1:13" ht="28.8" customHeight="1" x14ac:dyDescent="0.3">
      <c r="A7" s="107"/>
      <c r="B7" s="109" t="s">
        <v>132</v>
      </c>
      <c r="C7" s="110"/>
      <c r="D7" s="110"/>
      <c r="E7" s="111"/>
      <c r="F7" s="104" t="s">
        <v>133</v>
      </c>
      <c r="G7" s="105"/>
      <c r="H7" s="105"/>
      <c r="I7" s="106"/>
      <c r="J7" s="104" t="s">
        <v>134</v>
      </c>
      <c r="K7" s="105"/>
      <c r="L7" s="105"/>
      <c r="M7" s="106"/>
    </row>
    <row r="8" spans="1:13" x14ac:dyDescent="0.3">
      <c r="A8" s="108"/>
      <c r="B8" s="36" t="s">
        <v>135</v>
      </c>
      <c r="C8" s="36" t="s">
        <v>136</v>
      </c>
      <c r="D8" s="36" t="s">
        <v>137</v>
      </c>
      <c r="E8" s="35" t="s">
        <v>138</v>
      </c>
      <c r="F8" s="35" t="s">
        <v>135</v>
      </c>
      <c r="G8" s="35" t="s">
        <v>136</v>
      </c>
      <c r="H8" s="35" t="s">
        <v>137</v>
      </c>
      <c r="I8" s="35" t="s">
        <v>138</v>
      </c>
      <c r="J8" s="35" t="s">
        <v>135</v>
      </c>
      <c r="K8" s="35" t="s">
        <v>136</v>
      </c>
      <c r="L8" s="35" t="s">
        <v>137</v>
      </c>
      <c r="M8" s="35" t="s">
        <v>138</v>
      </c>
    </row>
    <row r="9" spans="1:13" x14ac:dyDescent="0.3">
      <c r="A9" s="33" t="s">
        <v>139</v>
      </c>
      <c r="B9" s="34">
        <v>100</v>
      </c>
      <c r="C9" s="34">
        <v>200</v>
      </c>
      <c r="D9" s="34">
        <v>100</v>
      </c>
      <c r="E9" s="2">
        <v>80</v>
      </c>
      <c r="F9" s="2">
        <v>110</v>
      </c>
      <c r="G9" s="2">
        <v>210</v>
      </c>
      <c r="H9" s="2">
        <v>90</v>
      </c>
      <c r="I9" s="2">
        <v>80</v>
      </c>
      <c r="J9" s="2">
        <v>120</v>
      </c>
      <c r="K9" s="2">
        <v>200</v>
      </c>
      <c r="L9" s="2">
        <v>100</v>
      </c>
      <c r="M9" s="2">
        <v>82</v>
      </c>
    </row>
    <row r="10" spans="1:13" x14ac:dyDescent="0.3">
      <c r="A10" s="1" t="s">
        <v>140</v>
      </c>
      <c r="B10" s="2">
        <v>120</v>
      </c>
      <c r="C10" s="2">
        <v>230</v>
      </c>
      <c r="D10" s="2">
        <v>110</v>
      </c>
      <c r="E10" s="2">
        <v>85</v>
      </c>
      <c r="F10" s="2">
        <v>120</v>
      </c>
      <c r="G10" s="2">
        <v>230</v>
      </c>
      <c r="H10" s="2">
        <v>110</v>
      </c>
      <c r="I10" s="2">
        <v>82</v>
      </c>
      <c r="J10" s="2">
        <v>130</v>
      </c>
      <c r="K10" s="2">
        <v>230</v>
      </c>
      <c r="L10" s="2">
        <v>120</v>
      </c>
      <c r="M10" s="2">
        <v>85</v>
      </c>
    </row>
    <row r="12" spans="1:13" x14ac:dyDescent="0.3">
      <c r="A12" s="79" t="s">
        <v>141</v>
      </c>
      <c r="B12" s="79"/>
      <c r="C12" s="79"/>
      <c r="D12" s="79"/>
      <c r="F12" s="20" t="s">
        <v>145</v>
      </c>
      <c r="G12" s="2">
        <v>1.1000000000000001</v>
      </c>
    </row>
    <row r="13" spans="1:13" x14ac:dyDescent="0.3">
      <c r="A13" s="35" t="s">
        <v>142</v>
      </c>
      <c r="B13" s="35" t="s">
        <v>143</v>
      </c>
      <c r="C13" s="35" t="s">
        <v>144</v>
      </c>
      <c r="D13" s="35" t="s">
        <v>138</v>
      </c>
      <c r="F13" s="30"/>
    </row>
    <row r="14" spans="1:13" x14ac:dyDescent="0.3">
      <c r="A14" s="31">
        <v>10</v>
      </c>
      <c r="B14" s="31">
        <v>5</v>
      </c>
      <c r="C14" s="31">
        <v>5</v>
      </c>
      <c r="D14" s="31">
        <v>2</v>
      </c>
      <c r="F14" s="30"/>
    </row>
    <row r="17" spans="1:62" x14ac:dyDescent="0.3">
      <c r="A17" s="37" t="s">
        <v>146</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row>
    <row r="19" spans="1:62" x14ac:dyDescent="0.3">
      <c r="A19" s="107"/>
      <c r="B19" s="109" t="s">
        <v>132</v>
      </c>
      <c r="C19" s="110"/>
      <c r="D19" s="110"/>
      <c r="E19" s="111"/>
      <c r="F19" s="104" t="s">
        <v>133</v>
      </c>
      <c r="G19" s="105"/>
      <c r="H19" s="105"/>
      <c r="I19" s="106"/>
      <c r="J19" s="104" t="s">
        <v>134</v>
      </c>
      <c r="K19" s="105"/>
      <c r="L19" s="105"/>
      <c r="M19" s="106"/>
    </row>
    <row r="20" spans="1:62" x14ac:dyDescent="0.3">
      <c r="A20" s="108"/>
      <c r="B20" s="36" t="s">
        <v>135</v>
      </c>
      <c r="C20" s="36" t="s">
        <v>136</v>
      </c>
      <c r="D20" s="36" t="s">
        <v>137</v>
      </c>
      <c r="E20" s="35" t="s">
        <v>138</v>
      </c>
      <c r="F20" s="35" t="s">
        <v>135</v>
      </c>
      <c r="G20" s="35" t="s">
        <v>136</v>
      </c>
      <c r="H20" s="35" t="s">
        <v>137</v>
      </c>
      <c r="I20" s="35" t="s">
        <v>138</v>
      </c>
      <c r="J20" s="35" t="s">
        <v>135</v>
      </c>
      <c r="K20" s="35" t="s">
        <v>136</v>
      </c>
      <c r="L20" s="35" t="s">
        <v>137</v>
      </c>
      <c r="M20" s="35" t="s">
        <v>138</v>
      </c>
    </row>
    <row r="21" spans="1:62" ht="27.6" customHeight="1" x14ac:dyDescent="0.3">
      <c r="A21" s="33" t="s">
        <v>147</v>
      </c>
      <c r="B21" s="38">
        <f>(B10-A14)/B9</f>
        <v>1.1000000000000001</v>
      </c>
      <c r="C21" s="38">
        <f t="shared" ref="C21:E21" si="0">(C10-B14)/C9</f>
        <v>1.125</v>
      </c>
      <c r="D21" s="38">
        <f t="shared" si="0"/>
        <v>1.05</v>
      </c>
      <c r="E21" s="38">
        <f t="shared" si="0"/>
        <v>1.0375000000000001</v>
      </c>
      <c r="F21" s="38">
        <f>(F10-A14)/F9</f>
        <v>1</v>
      </c>
      <c r="G21" s="38">
        <f t="shared" ref="G21:I21" si="1">(G10-B14)/G9</f>
        <v>1.0714285714285714</v>
      </c>
      <c r="H21" s="38">
        <f t="shared" si="1"/>
        <v>1.1666666666666667</v>
      </c>
      <c r="I21" s="38">
        <f t="shared" si="1"/>
        <v>1</v>
      </c>
      <c r="J21" s="38">
        <f>(J10-A14)/J9</f>
        <v>1</v>
      </c>
      <c r="K21" s="38">
        <f t="shared" ref="K21:M21" si="2">(K10-B14)/K9</f>
        <v>1.125</v>
      </c>
      <c r="L21" s="38">
        <f t="shared" si="2"/>
        <v>1.1499999999999999</v>
      </c>
      <c r="M21" s="38">
        <f t="shared" si="2"/>
        <v>1.0121951219512195</v>
      </c>
    </row>
    <row r="23" spans="1:62" x14ac:dyDescent="0.3">
      <c r="A23" s="1"/>
      <c r="B23" s="1" t="s">
        <v>148</v>
      </c>
      <c r="C23" s="1" t="s">
        <v>120</v>
      </c>
    </row>
    <row r="24" spans="1:62" x14ac:dyDescent="0.3">
      <c r="A24" s="1" t="s">
        <v>135</v>
      </c>
      <c r="B24" s="2">
        <f>(B21+F21+J21)/3</f>
        <v>1.0333333333333334</v>
      </c>
      <c r="C24" s="63">
        <f>((B21-B24)^2+(F21-B24)^2+(J21-B24)^2)/2</f>
        <v>3.3333333333333396E-3</v>
      </c>
    </row>
    <row r="25" spans="1:62" x14ac:dyDescent="0.3">
      <c r="A25" s="1" t="s">
        <v>136</v>
      </c>
      <c r="B25" s="2">
        <f>(C21+G21+K21)/3</f>
        <v>1.107142857142857</v>
      </c>
      <c r="C25" s="40">
        <f>((C21-B25)^2+(G21-B25)^2+(K21-B25)^2)/2</f>
        <v>9.5663265306122555E-4</v>
      </c>
    </row>
    <row r="26" spans="1:62" x14ac:dyDescent="0.3">
      <c r="A26" s="1" t="s">
        <v>137</v>
      </c>
      <c r="B26" s="2">
        <f>(D21+H21+L21)/3</f>
        <v>1.1222222222222222</v>
      </c>
      <c r="C26" s="39">
        <f>((D21-B26)^2+(H21-B26)^2+(L21-B26)^2)/2</f>
        <v>3.9814814814814791E-3</v>
      </c>
    </row>
    <row r="27" spans="1:62" x14ac:dyDescent="0.3">
      <c r="A27" s="1" t="s">
        <v>138</v>
      </c>
      <c r="B27" s="2">
        <f>(E21+I21+M21)/3</f>
        <v>1.0165650406504065</v>
      </c>
      <c r="C27" s="63">
        <f>((E21-B27)^2+(I21-B27)^2+(M21-B27)^2)/2</f>
        <v>3.6588464207812989E-4</v>
      </c>
    </row>
    <row r="30" spans="1:62" x14ac:dyDescent="0.3">
      <c r="A30" s="41" t="s">
        <v>149</v>
      </c>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row>
    <row r="32" spans="1:62" x14ac:dyDescent="0.3">
      <c r="A32" s="1" t="s">
        <v>150</v>
      </c>
      <c r="B32" s="1" t="s">
        <v>151</v>
      </c>
      <c r="C32" s="1" t="s">
        <v>152</v>
      </c>
      <c r="D32" s="1" t="s">
        <v>153</v>
      </c>
      <c r="E32" s="1" t="s">
        <v>154</v>
      </c>
      <c r="F32" s="1" t="s">
        <v>155</v>
      </c>
    </row>
    <row r="33" spans="1:6" x14ac:dyDescent="0.3">
      <c r="A33" s="42">
        <f>((B21-B24)*(C21-B25)+(F21-B24)*(G21-B25)+(J21-B24)*(K21-B25))/2</f>
        <v>8.9285714285714424E-4</v>
      </c>
      <c r="B33" s="42">
        <f>((B21-B24)*(D21-B26)+(F21-B24)*(H21-B26)+(J21-B24)*(L21-B26))/2</f>
        <v>-3.6111111111111127E-3</v>
      </c>
      <c r="C33" s="42">
        <f>((B21-B24)*(E21-B27)+(F21-B24)*(I21-B27)+(J21-B24)*(M21-B27))/2</f>
        <v>1.0467479674796786E-3</v>
      </c>
      <c r="D33" s="42">
        <f>((C21-B25)*(D21-B26)+(G21-B25)*(H21-B26)+(K21-B25)*(L21-B26))/2</f>
        <v>-1.190476190476193E-3</v>
      </c>
      <c r="E33" s="42">
        <f>((C21-B25)*(E21-B27)+(G21-B25)*(I21-B27)+(K21-B25)*(M21-B27))/2</f>
        <v>4.4370644599303253E-4</v>
      </c>
      <c r="F33" s="42">
        <f>((D21-B26)*(E21-B27)+(H21-B26)*(I21-B27)+(L21-B26)*(M21-B27))/2</f>
        <v>-1.1847899728997318E-3</v>
      </c>
    </row>
    <row r="34" spans="1:6" ht="15" thickBot="1" x14ac:dyDescent="0.35"/>
    <row r="35" spans="1:6" ht="28.8" x14ac:dyDescent="0.3">
      <c r="A35" s="43" t="s">
        <v>156</v>
      </c>
      <c r="B35" s="47">
        <f>C24*B39*B39+A33*B39*C39+A33*C39*B39+B33*B39*D39+B33*D39*B39+C33*B39*E39+C33*E39*B39+C25*C39*C39+D33*C39*D39+D33*D39*C39+E33*C39*E39+E33*E39*C39+C26*D39*D39+F33*D39*E39+F33*E39*D39+C27*E39*E39</f>
        <v>1.2113564274901978E-4</v>
      </c>
      <c r="C35" s="48" t="s">
        <v>157</v>
      </c>
      <c r="D35" s="49" t="s">
        <v>158</v>
      </c>
      <c r="E35" s="50"/>
    </row>
    <row r="36" spans="1:6" x14ac:dyDescent="0.3">
      <c r="A36" s="44" t="s">
        <v>159</v>
      </c>
      <c r="B36" s="51">
        <f>B24*B39+B25*C39+B26*D39+B27*E39</f>
        <v>1.1000000092816551</v>
      </c>
      <c r="C36" s="52" t="s">
        <v>160</v>
      </c>
      <c r="D36" s="53">
        <f>G12</f>
        <v>1.1000000000000001</v>
      </c>
      <c r="E36" s="54"/>
    </row>
    <row r="37" spans="1:6" x14ac:dyDescent="0.3">
      <c r="A37" s="45"/>
      <c r="B37" s="51">
        <f>B39+C39+D39+E39</f>
        <v>1</v>
      </c>
      <c r="C37" s="55" t="s">
        <v>161</v>
      </c>
      <c r="D37" s="53">
        <v>1</v>
      </c>
      <c r="E37" s="56"/>
    </row>
    <row r="38" spans="1:6" x14ac:dyDescent="0.3">
      <c r="A38" s="59"/>
      <c r="B38" s="60"/>
      <c r="C38" s="60"/>
      <c r="D38" s="60"/>
      <c r="E38" s="61"/>
    </row>
    <row r="39" spans="1:6" ht="15" thickBot="1" x14ac:dyDescent="0.35">
      <c r="A39" s="46" t="s">
        <v>162</v>
      </c>
      <c r="B39" s="57">
        <v>0.17073048675333261</v>
      </c>
      <c r="C39" s="57">
        <v>0.46727230467058717</v>
      </c>
      <c r="D39" s="57">
        <v>0.3619972085760802</v>
      </c>
      <c r="E39" s="58">
        <v>0</v>
      </c>
    </row>
  </sheetData>
  <mergeCells count="10">
    <mergeCell ref="J7:M7"/>
    <mergeCell ref="A7:A8"/>
    <mergeCell ref="A12:D12"/>
    <mergeCell ref="A1:G4"/>
    <mergeCell ref="A19:A20"/>
    <mergeCell ref="B19:E19"/>
    <mergeCell ref="F19:I19"/>
    <mergeCell ref="J19:M19"/>
    <mergeCell ref="B7:E7"/>
    <mergeCell ref="F7:I7"/>
  </mergeCells>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96DD-03E8-406C-90BC-6378757D5C46}">
  <dimension ref="A1:AO74"/>
  <sheetViews>
    <sheetView workbookViewId="0">
      <selection sqref="A1:D4"/>
    </sheetView>
  </sheetViews>
  <sheetFormatPr defaultRowHeight="14.4" x14ac:dyDescent="0.3"/>
  <cols>
    <col min="1" max="1" width="12.33203125" customWidth="1"/>
    <col min="2" max="2" width="10.6640625" customWidth="1"/>
    <col min="3" max="3" width="10.88671875" customWidth="1"/>
    <col min="4" max="4" width="10.109375" bestFit="1" customWidth="1"/>
    <col min="6" max="6" width="10" customWidth="1"/>
    <col min="8" max="8" width="8.88671875" customWidth="1"/>
    <col min="9" max="9" width="13.109375" customWidth="1"/>
  </cols>
  <sheetData>
    <row r="1" spans="1:9" ht="28.8" customHeight="1" x14ac:dyDescent="0.3">
      <c r="A1" s="80" t="s">
        <v>130</v>
      </c>
      <c r="B1" s="86"/>
      <c r="C1" s="86"/>
      <c r="D1" s="86"/>
      <c r="F1" s="4" t="s">
        <v>250</v>
      </c>
      <c r="G1" s="3" t="s">
        <v>248</v>
      </c>
      <c r="H1" s="4" t="s">
        <v>249</v>
      </c>
      <c r="I1" s="4" t="s">
        <v>251</v>
      </c>
    </row>
    <row r="2" spans="1:9" x14ac:dyDescent="0.3">
      <c r="A2" s="86"/>
      <c r="B2" s="86"/>
      <c r="C2" s="86"/>
      <c r="D2" s="86"/>
      <c r="F2" s="5">
        <v>11</v>
      </c>
      <c r="G2" s="5" t="s">
        <v>252</v>
      </c>
      <c r="H2" s="5">
        <v>20</v>
      </c>
      <c r="I2" s="5">
        <v>14</v>
      </c>
    </row>
    <row r="3" spans="1:9" x14ac:dyDescent="0.3">
      <c r="A3" s="86"/>
      <c r="B3" s="86"/>
      <c r="C3" s="86"/>
      <c r="D3" s="86"/>
    </row>
    <row r="4" spans="1:9" x14ac:dyDescent="0.3">
      <c r="A4" s="86"/>
      <c r="B4" s="86"/>
      <c r="C4" s="86"/>
      <c r="D4" s="86"/>
    </row>
    <row r="6" spans="1:9" x14ac:dyDescent="0.3">
      <c r="A6" s="112" t="s">
        <v>163</v>
      </c>
      <c r="B6" s="112"/>
      <c r="C6" s="112"/>
      <c r="D6" s="112"/>
      <c r="E6" s="31">
        <v>1</v>
      </c>
      <c r="F6" s="31">
        <v>2</v>
      </c>
      <c r="G6" s="31">
        <v>3</v>
      </c>
      <c r="H6" s="31">
        <v>4</v>
      </c>
      <c r="I6" s="31">
        <v>5</v>
      </c>
    </row>
    <row r="7" spans="1:9" x14ac:dyDescent="0.3">
      <c r="A7" s="113" t="s">
        <v>164</v>
      </c>
      <c r="B7" s="113"/>
      <c r="C7" s="113"/>
      <c r="D7" s="113"/>
      <c r="E7" s="5">
        <v>10</v>
      </c>
      <c r="F7" s="31">
        <v>12</v>
      </c>
      <c r="G7" s="31">
        <v>14</v>
      </c>
      <c r="H7" s="31">
        <v>8</v>
      </c>
      <c r="I7" s="31">
        <v>15</v>
      </c>
    </row>
    <row r="8" spans="1:9" x14ac:dyDescent="0.3">
      <c r="A8" s="112" t="s">
        <v>165</v>
      </c>
      <c r="B8" s="112"/>
      <c r="C8" s="112"/>
      <c r="D8" s="112"/>
      <c r="E8" s="31">
        <v>15</v>
      </c>
      <c r="F8" s="31">
        <v>16</v>
      </c>
      <c r="G8" s="31">
        <v>20</v>
      </c>
      <c r="H8" s="31">
        <v>15</v>
      </c>
      <c r="I8" s="31">
        <v>22</v>
      </c>
    </row>
    <row r="9" spans="1:9" ht="28.2" customHeight="1" x14ac:dyDescent="0.3">
      <c r="A9" s="128" t="s">
        <v>219</v>
      </c>
      <c r="B9" s="128"/>
      <c r="C9" s="128"/>
      <c r="D9" s="128"/>
      <c r="E9" s="31">
        <v>12</v>
      </c>
      <c r="F9" s="31">
        <v>17</v>
      </c>
      <c r="G9" s="31">
        <v>18</v>
      </c>
      <c r="H9" s="31">
        <v>13</v>
      </c>
      <c r="I9" s="31">
        <v>20</v>
      </c>
    </row>
    <row r="11" spans="1:9" x14ac:dyDescent="0.3">
      <c r="A11" s="1" t="s">
        <v>105</v>
      </c>
      <c r="B11" s="2">
        <v>5</v>
      </c>
      <c r="D11" s="1" t="s">
        <v>225</v>
      </c>
      <c r="E11" s="2">
        <f>ABS(B17)*SQRT((B11-2)/(1-B17^2))</f>
        <v>3.9024065624197539</v>
      </c>
      <c r="G11" s="1" t="s">
        <v>226</v>
      </c>
      <c r="H11" s="31">
        <v>3</v>
      </c>
    </row>
    <row r="12" spans="1:9" x14ac:dyDescent="0.3">
      <c r="A12" s="1" t="s">
        <v>220</v>
      </c>
      <c r="B12" s="2">
        <f>AVERAGE(E7:I7)</f>
        <v>11.8</v>
      </c>
      <c r="D12" s="1" t="s">
        <v>227</v>
      </c>
      <c r="E12" s="2">
        <v>3.1819999999999999</v>
      </c>
      <c r="G12" s="1" t="s">
        <v>103</v>
      </c>
      <c r="H12" s="31">
        <v>0.05</v>
      </c>
    </row>
    <row r="13" spans="1:9" x14ac:dyDescent="0.3">
      <c r="A13" s="1" t="s">
        <v>221</v>
      </c>
      <c r="B13" s="2">
        <f>AVERAGE(E8:I8)</f>
        <v>17.600000000000001</v>
      </c>
      <c r="D13" s="1" t="s">
        <v>193</v>
      </c>
      <c r="E13" s="2" t="b">
        <f>E11&gt;E12</f>
        <v>1</v>
      </c>
    </row>
    <row r="14" spans="1:9" x14ac:dyDescent="0.3">
      <c r="A14" s="1" t="s">
        <v>222</v>
      </c>
      <c r="B14" s="2">
        <f>((E7-B12)^2+(F7-B12)^2+(G7-B12)^2+(H7-B12)^2+(I7-B12)^2)/(B11-1)</f>
        <v>8.1999999999999993</v>
      </c>
    </row>
    <row r="15" spans="1:9" x14ac:dyDescent="0.3">
      <c r="A15" s="1" t="s">
        <v>223</v>
      </c>
      <c r="B15" s="2">
        <f>((E8-B13)^2+(F8-B13)^2+(G8-B13)^2+(H8-B13)^2+(I8-B13)^2)/(B11-1)</f>
        <v>10.3</v>
      </c>
    </row>
    <row r="16" spans="1:9" x14ac:dyDescent="0.3">
      <c r="A16" s="1" t="s">
        <v>224</v>
      </c>
      <c r="B16" s="2">
        <f>E7*E8+F7*F8+G7*G8+H7*H8+I7*I8</f>
        <v>1072</v>
      </c>
    </row>
    <row r="17" spans="1:41" x14ac:dyDescent="0.3">
      <c r="A17" s="1" t="s">
        <v>228</v>
      </c>
      <c r="B17" s="2">
        <f>(B16-B11*B12*B13)/((B11-1)*(SQRT(B14*B15)))</f>
        <v>0.91401589334084032</v>
      </c>
    </row>
    <row r="20" spans="1:41" x14ac:dyDescent="0.3">
      <c r="A20" s="1" t="s">
        <v>115</v>
      </c>
      <c r="B20" s="2">
        <f>CORREL(E7:I7,E8:I8)</f>
        <v>0.91401589334084288</v>
      </c>
    </row>
    <row r="21" spans="1:41" x14ac:dyDescent="0.3">
      <c r="A21" s="1" t="s">
        <v>227</v>
      </c>
      <c r="B21" s="2">
        <f>TINV(H12,H11)</f>
        <v>3.1824463052837091</v>
      </c>
    </row>
    <row r="22" spans="1:41" x14ac:dyDescent="0.3">
      <c r="A22" s="1" t="s">
        <v>193</v>
      </c>
      <c r="B22" s="2" t="b">
        <f>E11&gt;B21</f>
        <v>1</v>
      </c>
    </row>
    <row r="24" spans="1:41" x14ac:dyDescent="0.3">
      <c r="A24" s="125" t="s">
        <v>229</v>
      </c>
      <c r="B24" s="125"/>
      <c r="C24" s="125"/>
      <c r="D24" s="125"/>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row>
    <row r="27" spans="1:41" x14ac:dyDescent="0.3">
      <c r="A27" s="2">
        <f t="array" ref="A27:B31">LINEST(E8:I8,E7:I7,1,1)</f>
        <v>1.024390243902439</v>
      </c>
      <c r="B27" s="2">
        <v>5.5121951219512191</v>
      </c>
      <c r="D27" s="1" t="s">
        <v>176</v>
      </c>
      <c r="E27" s="2">
        <f>A27</f>
        <v>1.024390243902439</v>
      </c>
      <c r="G27" s="1" t="s">
        <v>235</v>
      </c>
      <c r="H27" s="2">
        <f>FINV(0.05,1,3)</f>
        <v>10.127964486013932</v>
      </c>
    </row>
    <row r="28" spans="1:41" x14ac:dyDescent="0.3">
      <c r="A28" s="2">
        <v>0.26250218359289329</v>
      </c>
      <c r="B28" s="2">
        <v>3.1696527244815327</v>
      </c>
      <c r="D28" s="1" t="s">
        <v>230</v>
      </c>
      <c r="E28" s="2">
        <f>B27</f>
        <v>5.5121951219512191</v>
      </c>
      <c r="G28" s="1" t="s">
        <v>193</v>
      </c>
      <c r="H28" s="2" t="b">
        <f>E30&gt;H27</f>
        <v>1</v>
      </c>
    </row>
    <row r="29" spans="1:41" x14ac:dyDescent="0.3">
      <c r="A29" s="2">
        <v>0.83542505327965899</v>
      </c>
      <c r="B29" s="2">
        <v>1.5033837173609457</v>
      </c>
      <c r="D29" s="1" t="s">
        <v>231</v>
      </c>
      <c r="E29" s="2">
        <f>A29</f>
        <v>0.83542505327965899</v>
      </c>
    </row>
    <row r="30" spans="1:41" x14ac:dyDescent="0.3">
      <c r="A30" s="2">
        <v>15.228776978417272</v>
      </c>
      <c r="B30" s="2">
        <v>3</v>
      </c>
      <c r="D30" s="1" t="s">
        <v>232</v>
      </c>
      <c r="E30" s="2">
        <f>A30</f>
        <v>15.228776978417272</v>
      </c>
      <c r="G30" s="126" t="s">
        <v>236</v>
      </c>
      <c r="H30" s="127"/>
    </row>
    <row r="31" spans="1:41" x14ac:dyDescent="0.3">
      <c r="A31" s="2">
        <v>34.419512195121953</v>
      </c>
      <c r="B31" s="2">
        <v>6.7804878048780459</v>
      </c>
      <c r="D31" s="1" t="s">
        <v>204</v>
      </c>
      <c r="E31" s="2">
        <f>B30</f>
        <v>3</v>
      </c>
    </row>
    <row r="32" spans="1:41" x14ac:dyDescent="0.3">
      <c r="D32" s="1" t="s">
        <v>233</v>
      </c>
      <c r="E32" s="2">
        <f>A31</f>
        <v>34.419512195121953</v>
      </c>
    </row>
    <row r="33" spans="1:41" x14ac:dyDescent="0.3">
      <c r="D33" s="1" t="s">
        <v>234</v>
      </c>
      <c r="E33" s="2">
        <f>B31</f>
        <v>6.7804878048780459</v>
      </c>
    </row>
    <row r="35" spans="1:41" x14ac:dyDescent="0.3">
      <c r="A35" s="37" t="s">
        <v>237</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row>
    <row r="37" spans="1:41" x14ac:dyDescent="0.3">
      <c r="A37" s="1" t="s">
        <v>148</v>
      </c>
      <c r="B37" s="2">
        <f>E27*B12/B13</f>
        <v>0.68680709534368078</v>
      </c>
    </row>
    <row r="38" spans="1:41" ht="15" thickBot="1" x14ac:dyDescent="0.35"/>
    <row r="39" spans="1:41" ht="15" thickBot="1" x14ac:dyDescent="0.35">
      <c r="A39" s="117" t="s">
        <v>253</v>
      </c>
      <c r="B39" s="118"/>
      <c r="C39" s="118"/>
      <c r="D39" s="118"/>
      <c r="E39" s="118"/>
      <c r="F39" s="119"/>
    </row>
    <row r="40" spans="1:41" ht="15" thickBot="1" x14ac:dyDescent="0.35">
      <c r="A40" s="75" t="s">
        <v>257</v>
      </c>
      <c r="B40" s="123">
        <f>F2</f>
        <v>11</v>
      </c>
      <c r="C40" s="124"/>
      <c r="D40" s="71" t="s">
        <v>256</v>
      </c>
      <c r="E40" s="123">
        <f>E28+E27*B40</f>
        <v>16.780487804878049</v>
      </c>
      <c r="F40" s="124"/>
    </row>
    <row r="41" spans="1:41" ht="16.2" thickBot="1" x14ac:dyDescent="0.35">
      <c r="A41" s="66"/>
      <c r="B41" s="68"/>
      <c r="C41" s="69"/>
      <c r="D41" s="67"/>
      <c r="E41" s="67"/>
      <c r="F41" s="67"/>
    </row>
    <row r="42" spans="1:41" ht="15" thickBot="1" x14ac:dyDescent="0.35">
      <c r="A42" s="120" t="s">
        <v>254</v>
      </c>
      <c r="B42" s="121"/>
      <c r="C42" s="121"/>
      <c r="D42" s="121"/>
      <c r="E42" s="121"/>
      <c r="F42" s="122"/>
    </row>
    <row r="43" spans="1:41" ht="15" thickBot="1" x14ac:dyDescent="0.35">
      <c r="A43" s="72">
        <f>E40</f>
        <v>16.780487804878049</v>
      </c>
      <c r="B43" s="70" t="s">
        <v>255</v>
      </c>
      <c r="C43" s="73">
        <f>E12*SQRT(E33/(5-2))*SQRT(1+1/5+(B40-B12)^2/(SUMSQ(E7:I7)-B11*B12^2))</f>
        <v>5.2827868894226757</v>
      </c>
      <c r="D43" s="70" t="s">
        <v>161</v>
      </c>
      <c r="E43" s="73">
        <f>A43-C43</f>
        <v>11.497700915455374</v>
      </c>
      <c r="F43" s="74">
        <f>A43+C43</f>
        <v>22.063274694300723</v>
      </c>
    </row>
    <row r="44" spans="1:41" ht="15.6" x14ac:dyDescent="0.3">
      <c r="A44" s="67"/>
      <c r="B44" s="67"/>
      <c r="C44" s="67"/>
      <c r="D44" s="67"/>
      <c r="E44" s="67"/>
      <c r="F44" s="67"/>
    </row>
    <row r="45" spans="1:41" ht="27.6" customHeight="1" x14ac:dyDescent="0.3"/>
    <row r="46" spans="1:41" x14ac:dyDescent="0.3">
      <c r="A46" s="1" t="s">
        <v>230</v>
      </c>
      <c r="B46" s="1" t="s">
        <v>176</v>
      </c>
      <c r="C46" s="1" t="s">
        <v>258</v>
      </c>
      <c r="D46" s="1" t="s">
        <v>234</v>
      </c>
      <c r="E46" s="1" t="s">
        <v>105</v>
      </c>
      <c r="F46" s="1" t="s">
        <v>260</v>
      </c>
      <c r="G46" s="1" t="s">
        <v>259</v>
      </c>
    </row>
    <row r="47" spans="1:41" x14ac:dyDescent="0.3">
      <c r="A47" s="2">
        <f>B27</f>
        <v>5.5121951219512191</v>
      </c>
      <c r="B47" s="2">
        <f>A27</f>
        <v>1.024390243902439</v>
      </c>
      <c r="C47" s="2">
        <f>TINV(H12*2,H11)</f>
        <v>2.3533634348018233</v>
      </c>
      <c r="D47" s="2">
        <f>B31</f>
        <v>6.7804878048780459</v>
      </c>
      <c r="E47" s="2">
        <f>B11</f>
        <v>5</v>
      </c>
      <c r="F47" s="2">
        <f>B12</f>
        <v>11.8</v>
      </c>
      <c r="G47" s="2">
        <f>SUMSQ(E7:I7)</f>
        <v>729</v>
      </c>
    </row>
    <row r="49" spans="1:41" x14ac:dyDescent="0.3">
      <c r="A49" s="1" t="s">
        <v>220</v>
      </c>
      <c r="B49" s="1"/>
    </row>
    <row r="50" spans="1:41" x14ac:dyDescent="0.3">
      <c r="A50" s="2">
        <v>10.245110424903235</v>
      </c>
      <c r="B50" s="76">
        <f>A47+B47*A50+C47*SQRT(D47/(E47-2))*SQRT(1+1/E47+(A50-F47)^2/(G47-E47*F47^2))</f>
        <v>20.000138289286511</v>
      </c>
    </row>
    <row r="53" spans="1:41" x14ac:dyDescent="0.3">
      <c r="A53" s="37" t="s">
        <v>261</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row>
    <row r="55" spans="1:41" x14ac:dyDescent="0.3">
      <c r="A55" s="112" t="s">
        <v>163</v>
      </c>
      <c r="B55" s="112"/>
      <c r="C55" s="112"/>
      <c r="D55" s="112"/>
      <c r="E55" s="31">
        <v>1</v>
      </c>
      <c r="F55" s="31">
        <v>2</v>
      </c>
      <c r="G55" s="31">
        <v>3</v>
      </c>
      <c r="H55" s="31">
        <v>4</v>
      </c>
      <c r="I55" s="31">
        <v>5</v>
      </c>
    </row>
    <row r="56" spans="1:41" x14ac:dyDescent="0.3">
      <c r="A56" s="113" t="s">
        <v>164</v>
      </c>
      <c r="B56" s="113"/>
      <c r="C56" s="113"/>
      <c r="D56" s="113"/>
      <c r="E56" s="5">
        <v>10</v>
      </c>
      <c r="F56" s="31">
        <v>12</v>
      </c>
      <c r="G56" s="31">
        <v>14</v>
      </c>
      <c r="H56" s="31">
        <v>8</v>
      </c>
      <c r="I56" s="31">
        <v>15</v>
      </c>
    </row>
    <row r="57" spans="1:41" ht="28.8" customHeight="1" x14ac:dyDescent="0.3">
      <c r="A57" s="114" t="s">
        <v>219</v>
      </c>
      <c r="B57" s="115"/>
      <c r="C57" s="115"/>
      <c r="D57" s="116"/>
      <c r="E57" s="31">
        <v>12</v>
      </c>
      <c r="F57" s="31">
        <v>17</v>
      </c>
      <c r="G57" s="31">
        <v>18</v>
      </c>
      <c r="H57" s="31">
        <v>13</v>
      </c>
      <c r="I57" s="31">
        <v>20</v>
      </c>
    </row>
    <row r="58" spans="1:41" ht="14.4" customHeight="1" x14ac:dyDescent="0.3">
      <c r="A58" s="112" t="s">
        <v>165</v>
      </c>
      <c r="B58" s="112"/>
      <c r="C58" s="112"/>
      <c r="D58" s="112"/>
      <c r="E58" s="31">
        <v>15</v>
      </c>
      <c r="F58" s="31">
        <v>16</v>
      </c>
      <c r="G58" s="31">
        <v>20</v>
      </c>
      <c r="H58" s="31">
        <v>15</v>
      </c>
      <c r="I58" s="31">
        <v>22</v>
      </c>
    </row>
    <row r="60" spans="1:41" x14ac:dyDescent="0.3">
      <c r="A60" s="37" t="s">
        <v>262</v>
      </c>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row>
    <row r="62" spans="1:41" x14ac:dyDescent="0.3">
      <c r="A62" s="2">
        <f t="array" ref="A62:C66">LINEST(E58:I58,E56:I57,1,1)</f>
        <v>0.32706766917293206</v>
      </c>
      <c r="B62" s="2">
        <v>0.66541353383458668</v>
      </c>
      <c r="C62" s="2">
        <v>4.5150375939849656</v>
      </c>
      <c r="E62" s="1" t="s">
        <v>230</v>
      </c>
      <c r="F62" s="2">
        <f>C62</f>
        <v>4.5150375939849656</v>
      </c>
      <c r="H62" s="1" t="s">
        <v>268</v>
      </c>
      <c r="I62" s="2">
        <f>B12</f>
        <v>11.8</v>
      </c>
    </row>
    <row r="63" spans="1:41" x14ac:dyDescent="0.3">
      <c r="A63" s="2">
        <v>0.68488667739147646</v>
      </c>
      <c r="B63" s="2">
        <v>0.81107443419402292</v>
      </c>
      <c r="C63" s="2">
        <v>4.2293705093439664</v>
      </c>
      <c r="E63" s="1" t="s">
        <v>176</v>
      </c>
      <c r="F63" s="2">
        <f>B62</f>
        <v>0.66541353383458668</v>
      </c>
      <c r="H63" s="1" t="s">
        <v>269</v>
      </c>
      <c r="I63" s="2">
        <f>AVERAGE(E57:I57)</f>
        <v>16</v>
      </c>
    </row>
    <row r="64" spans="1:41" x14ac:dyDescent="0.3">
      <c r="A64" s="2">
        <v>0.85227023870355501</v>
      </c>
      <c r="B64" s="2">
        <v>1.7444864810902851</v>
      </c>
      <c r="C64" s="2" t="e">
        <v>#N/A</v>
      </c>
      <c r="E64" s="1" t="s">
        <v>177</v>
      </c>
      <c r="F64" s="2">
        <f>A62</f>
        <v>0.32706766917293206</v>
      </c>
      <c r="H64" s="1" t="s">
        <v>270</v>
      </c>
      <c r="I64" s="2">
        <f>B13</f>
        <v>17.600000000000001</v>
      </c>
    </row>
    <row r="65" spans="1:6" x14ac:dyDescent="0.3">
      <c r="A65" s="2">
        <v>5.7691167387276128</v>
      </c>
      <c r="B65" s="2">
        <v>2</v>
      </c>
      <c r="C65" s="2" t="e">
        <v>#N/A</v>
      </c>
      <c r="E65" s="1" t="s">
        <v>233</v>
      </c>
      <c r="F65" s="2">
        <f>A66</f>
        <v>35.11353383458647</v>
      </c>
    </row>
    <row r="66" spans="1:6" x14ac:dyDescent="0.3">
      <c r="A66" s="2">
        <v>35.11353383458647</v>
      </c>
      <c r="B66" s="2">
        <v>6.0864661654135315</v>
      </c>
      <c r="C66" s="2" t="e">
        <v>#N/A</v>
      </c>
      <c r="E66" s="1" t="s">
        <v>234</v>
      </c>
      <c r="F66" s="2">
        <f>B66</f>
        <v>6.0864661654135315</v>
      </c>
    </row>
    <row r="67" spans="1:6" x14ac:dyDescent="0.3">
      <c r="E67" s="1" t="s">
        <v>232</v>
      </c>
      <c r="F67" s="2">
        <f>A65</f>
        <v>5.7691167387276128</v>
      </c>
    </row>
    <row r="68" spans="1:6" x14ac:dyDescent="0.3">
      <c r="E68" s="1" t="s">
        <v>263</v>
      </c>
      <c r="F68" s="2">
        <f>A64</f>
        <v>0.85227023870355501</v>
      </c>
    </row>
    <row r="69" spans="1:6" x14ac:dyDescent="0.3">
      <c r="E69" s="1" t="s">
        <v>264</v>
      </c>
      <c r="F69" s="2">
        <v>2</v>
      </c>
    </row>
    <row r="70" spans="1:6" x14ac:dyDescent="0.3">
      <c r="A70" s="1" t="s">
        <v>235</v>
      </c>
      <c r="B70" s="2">
        <f>FINV(0.05,B65,B65)</f>
        <v>18.999999999999996</v>
      </c>
      <c r="E70" s="1" t="s">
        <v>265</v>
      </c>
      <c r="F70" s="2">
        <v>2</v>
      </c>
    </row>
    <row r="71" spans="1:6" x14ac:dyDescent="0.3">
      <c r="A71" s="1" t="s">
        <v>193</v>
      </c>
      <c r="B71" s="2" t="b">
        <f>F67&gt;B70</f>
        <v>0</v>
      </c>
    </row>
    <row r="73" spans="1:6" x14ac:dyDescent="0.3">
      <c r="A73" s="1" t="s">
        <v>266</v>
      </c>
      <c r="B73" s="2">
        <f>F63*I62/I64</f>
        <v>0.44612952836637065</v>
      </c>
      <c r="D73" s="79" t="s">
        <v>271</v>
      </c>
      <c r="E73" s="79"/>
      <c r="F73" s="79"/>
    </row>
    <row r="74" spans="1:6" ht="21" customHeight="1" x14ac:dyDescent="0.3">
      <c r="A74" s="1" t="s">
        <v>267</v>
      </c>
      <c r="B74" s="2">
        <f>F64*I63/I64</f>
        <v>0.29733424470266551</v>
      </c>
      <c r="D74" s="77">
        <f>F2</f>
        <v>11</v>
      </c>
      <c r="E74" s="77">
        <f>I2</f>
        <v>14</v>
      </c>
      <c r="F74" s="78">
        <f>F62+F63*D74+F64*E74</f>
        <v>16.413533834586467</v>
      </c>
    </row>
  </sheetData>
  <mergeCells count="16">
    <mergeCell ref="G30:H30"/>
    <mergeCell ref="A1:D4"/>
    <mergeCell ref="A6:D6"/>
    <mergeCell ref="A8:D8"/>
    <mergeCell ref="A7:D7"/>
    <mergeCell ref="A9:D9"/>
    <mergeCell ref="A39:F39"/>
    <mergeCell ref="A42:F42"/>
    <mergeCell ref="B40:C40"/>
    <mergeCell ref="E40:F40"/>
    <mergeCell ref="A24:D24"/>
    <mergeCell ref="D73:F73"/>
    <mergeCell ref="A55:D55"/>
    <mergeCell ref="A56:D56"/>
    <mergeCell ref="A58:D58"/>
    <mergeCell ref="A57:D57"/>
  </mergeCells>
  <phoneticPr fontId="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88FF3-7FC9-4202-896B-04096927D6CF}">
  <dimension ref="A1:AO21"/>
  <sheetViews>
    <sheetView workbookViewId="0">
      <selection sqref="A1:D4"/>
    </sheetView>
  </sheetViews>
  <sheetFormatPr defaultRowHeight="14.4" x14ac:dyDescent="0.3"/>
  <cols>
    <col min="1" max="1" width="14.109375" bestFit="1" customWidth="1"/>
    <col min="3" max="3" width="7.77734375" customWidth="1"/>
    <col min="4" max="12" width="6.5546875" bestFit="1" customWidth="1"/>
  </cols>
  <sheetData>
    <row r="1" spans="1:41" x14ac:dyDescent="0.3">
      <c r="A1" s="80" t="s">
        <v>131</v>
      </c>
      <c r="B1" s="86"/>
      <c r="C1" s="86"/>
      <c r="D1" s="86"/>
      <c r="F1" t="s">
        <v>238</v>
      </c>
    </row>
    <row r="2" spans="1:41" x14ac:dyDescent="0.3">
      <c r="A2" s="86"/>
      <c r="B2" s="86"/>
      <c r="C2" s="86"/>
      <c r="D2" s="86"/>
      <c r="F2" t="s">
        <v>239</v>
      </c>
    </row>
    <row r="3" spans="1:41" x14ac:dyDescent="0.3">
      <c r="A3" s="86"/>
      <c r="B3" s="86"/>
      <c r="C3" s="86"/>
      <c r="D3" s="86"/>
      <c r="F3" t="s">
        <v>240</v>
      </c>
    </row>
    <row r="4" spans="1:41" x14ac:dyDescent="0.3">
      <c r="A4" s="86"/>
      <c r="B4" s="86"/>
      <c r="C4" s="86"/>
      <c r="D4" s="86"/>
    </row>
    <row r="6" spans="1:41" x14ac:dyDescent="0.3">
      <c r="A6" s="112" t="s">
        <v>166</v>
      </c>
      <c r="B6" s="112"/>
      <c r="C6" s="112"/>
      <c r="D6" s="32" t="s">
        <v>22</v>
      </c>
      <c r="E6" s="32" t="s">
        <v>23</v>
      </c>
      <c r="F6" s="32" t="s">
        <v>24</v>
      </c>
      <c r="G6" s="32" t="s">
        <v>28</v>
      </c>
      <c r="H6" s="32" t="s">
        <v>29</v>
      </c>
      <c r="I6" s="32" t="s">
        <v>30</v>
      </c>
      <c r="J6" s="32" t="s">
        <v>167</v>
      </c>
      <c r="K6" s="32" t="s">
        <v>168</v>
      </c>
      <c r="L6" s="32" t="s">
        <v>169</v>
      </c>
    </row>
    <row r="7" spans="1:41" ht="28.2" customHeight="1" x14ac:dyDescent="0.3">
      <c r="A7" s="128" t="s">
        <v>170</v>
      </c>
      <c r="B7" s="128"/>
      <c r="C7" s="128"/>
      <c r="D7" s="5">
        <v>2.6</v>
      </c>
      <c r="E7" s="5">
        <v>2.8</v>
      </c>
      <c r="F7" s="5">
        <v>1.1000000000000001</v>
      </c>
      <c r="G7" s="5">
        <v>4.2</v>
      </c>
      <c r="H7" s="5">
        <v>3.9</v>
      </c>
      <c r="I7" s="5">
        <v>4.0999999999999996</v>
      </c>
      <c r="J7" s="5">
        <v>1.3</v>
      </c>
      <c r="K7" s="5">
        <v>1.9</v>
      </c>
      <c r="L7" s="5">
        <v>3.7</v>
      </c>
      <c r="N7">
        <f>AVERAGE(D7:L7)</f>
        <v>2.8444444444444441</v>
      </c>
    </row>
    <row r="8" spans="1:41" ht="29.4" customHeight="1" x14ac:dyDescent="0.3">
      <c r="A8" s="128" t="s">
        <v>171</v>
      </c>
      <c r="B8" s="128"/>
      <c r="C8" s="128"/>
      <c r="D8" s="5">
        <v>19</v>
      </c>
      <c r="E8" s="5">
        <v>23</v>
      </c>
      <c r="F8" s="5">
        <v>17</v>
      </c>
      <c r="G8" s="5">
        <v>30</v>
      </c>
      <c r="H8" s="5">
        <v>30</v>
      </c>
      <c r="I8" s="5">
        <v>35</v>
      </c>
      <c r="J8" s="5">
        <v>20</v>
      </c>
      <c r="K8" s="5">
        <v>24</v>
      </c>
      <c r="L8" s="5">
        <v>32</v>
      </c>
      <c r="N8">
        <f>AVERAGE(D8:L8)</f>
        <v>25.555555555555557</v>
      </c>
    </row>
    <row r="10" spans="1:41" x14ac:dyDescent="0.3">
      <c r="A10" s="129" t="s">
        <v>172</v>
      </c>
      <c r="B10" s="129"/>
      <c r="C10" s="129"/>
      <c r="D10" s="129"/>
      <c r="E10" s="129"/>
      <c r="F10" s="129"/>
      <c r="G10" s="129"/>
      <c r="H10" s="129"/>
      <c r="I10" s="129"/>
      <c r="J10" s="129"/>
      <c r="K10" s="129"/>
      <c r="L10" s="129"/>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row>
    <row r="12" spans="1:41" x14ac:dyDescent="0.3">
      <c r="A12" s="112" t="s">
        <v>166</v>
      </c>
      <c r="B12" s="112"/>
      <c r="C12" s="112"/>
      <c r="D12" s="32" t="s">
        <v>22</v>
      </c>
      <c r="E12" s="32" t="s">
        <v>23</v>
      </c>
      <c r="F12" s="32" t="s">
        <v>24</v>
      </c>
      <c r="G12" s="32" t="s">
        <v>28</v>
      </c>
      <c r="H12" s="32" t="s">
        <v>29</v>
      </c>
      <c r="I12" s="32" t="s">
        <v>30</v>
      </c>
      <c r="J12" s="32" t="s">
        <v>167</v>
      </c>
      <c r="K12" s="32" t="s">
        <v>168</v>
      </c>
      <c r="L12" s="32" t="s">
        <v>169</v>
      </c>
    </row>
    <row r="13" spans="1:41" ht="30" customHeight="1" x14ac:dyDescent="0.3">
      <c r="A13" s="128" t="s">
        <v>170</v>
      </c>
      <c r="B13" s="128"/>
      <c r="C13" s="128"/>
      <c r="D13" s="62">
        <f>D7/MAX(D7:L7)</f>
        <v>0.61904761904761907</v>
      </c>
      <c r="E13" s="62">
        <f>E7/MAX($D$7:$L$7)</f>
        <v>0.66666666666666663</v>
      </c>
      <c r="F13" s="62">
        <f t="shared" ref="F13:L13" si="0">F7/MAX($D$7:$L$7)</f>
        <v>0.26190476190476192</v>
      </c>
      <c r="G13" s="62">
        <f t="shared" si="0"/>
        <v>1</v>
      </c>
      <c r="H13" s="62">
        <f t="shared" si="0"/>
        <v>0.92857142857142849</v>
      </c>
      <c r="I13" s="62">
        <f t="shared" si="0"/>
        <v>0.97619047619047605</v>
      </c>
      <c r="J13" s="62">
        <f t="shared" si="0"/>
        <v>0.30952380952380953</v>
      </c>
      <c r="K13" s="62">
        <f t="shared" si="0"/>
        <v>0.45238095238095233</v>
      </c>
      <c r="L13" s="62">
        <f t="shared" si="0"/>
        <v>0.88095238095238093</v>
      </c>
    </row>
    <row r="14" spans="1:41" ht="27.6" customHeight="1" x14ac:dyDescent="0.3">
      <c r="A14" s="128" t="s">
        <v>171</v>
      </c>
      <c r="B14" s="128"/>
      <c r="C14" s="128"/>
      <c r="D14" s="62">
        <f>D8/MAX(D8:L8)</f>
        <v>0.54285714285714282</v>
      </c>
      <c r="E14" s="62">
        <f>E8/MAX($D$8:$L$8)</f>
        <v>0.65714285714285714</v>
      </c>
      <c r="F14" s="62">
        <f t="shared" ref="F14:L14" si="1">F8/MAX($D$8:$L$8)</f>
        <v>0.48571428571428571</v>
      </c>
      <c r="G14" s="62">
        <f t="shared" si="1"/>
        <v>0.8571428571428571</v>
      </c>
      <c r="H14" s="62">
        <f t="shared" si="1"/>
        <v>0.8571428571428571</v>
      </c>
      <c r="I14" s="62">
        <f t="shared" si="1"/>
        <v>1</v>
      </c>
      <c r="J14" s="62">
        <f t="shared" si="1"/>
        <v>0.5714285714285714</v>
      </c>
      <c r="K14" s="62">
        <f t="shared" si="1"/>
        <v>0.68571428571428572</v>
      </c>
      <c r="L14" s="62">
        <f t="shared" si="1"/>
        <v>0.91428571428571426</v>
      </c>
    </row>
    <row r="17" spans="1:41" x14ac:dyDescent="0.3">
      <c r="A17" s="129" t="s">
        <v>173</v>
      </c>
      <c r="B17" s="129"/>
      <c r="C17" s="129"/>
      <c r="D17" s="129"/>
      <c r="E17" s="129"/>
      <c r="F17" s="129"/>
      <c r="G17" s="129"/>
      <c r="H17" s="129"/>
      <c r="I17" s="129"/>
      <c r="J17" s="129"/>
      <c r="K17" s="129"/>
      <c r="L17" s="129"/>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row>
    <row r="19" spans="1:41" x14ac:dyDescent="0.3">
      <c r="A19" t="s">
        <v>241</v>
      </c>
      <c r="B19" t="s">
        <v>244</v>
      </c>
      <c r="C19" t="s">
        <v>245</v>
      </c>
    </row>
    <row r="20" spans="1:41" x14ac:dyDescent="0.3">
      <c r="A20" t="s">
        <v>242</v>
      </c>
      <c r="B20" t="s">
        <v>205</v>
      </c>
      <c r="C20" t="s">
        <v>246</v>
      </c>
    </row>
    <row r="21" spans="1:41" x14ac:dyDescent="0.3">
      <c r="A21" t="s">
        <v>243</v>
      </c>
      <c r="B21" t="s">
        <v>23</v>
      </c>
      <c r="C21" t="s">
        <v>247</v>
      </c>
    </row>
  </sheetData>
  <mergeCells count="9">
    <mergeCell ref="A13:C13"/>
    <mergeCell ref="A14:C14"/>
    <mergeCell ref="A10:L10"/>
    <mergeCell ref="A17:L17"/>
    <mergeCell ref="A1:D4"/>
    <mergeCell ref="A7:C7"/>
    <mergeCell ref="A8:C8"/>
    <mergeCell ref="A6:C6"/>
    <mergeCell ref="A12:C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A1B5-23AF-4D93-B58C-DDD7EBF76662}">
  <dimension ref="A1:P27"/>
  <sheetViews>
    <sheetView tabSelected="1" topLeftCell="H1" workbookViewId="0">
      <selection activeCell="M25" sqref="M25"/>
    </sheetView>
  </sheetViews>
  <sheetFormatPr defaultRowHeight="14.4" x14ac:dyDescent="0.3"/>
  <cols>
    <col min="9" max="9" width="14.77734375" bestFit="1" customWidth="1"/>
    <col min="10" max="10" width="12.88671875" customWidth="1"/>
    <col min="11" max="11" width="12.77734375" customWidth="1"/>
    <col min="12" max="12" width="12.88671875" customWidth="1"/>
  </cols>
  <sheetData>
    <row r="1" spans="1:16" ht="14.4" customHeight="1" x14ac:dyDescent="0.3">
      <c r="A1" s="80" t="s">
        <v>89</v>
      </c>
      <c r="B1" s="80"/>
      <c r="C1" s="80"/>
      <c r="D1" s="80"/>
      <c r="E1" s="80"/>
      <c r="F1" s="80"/>
      <c r="G1" s="80"/>
      <c r="H1" s="12"/>
      <c r="I1" s="81" t="s">
        <v>82</v>
      </c>
      <c r="J1" s="79" t="s">
        <v>85</v>
      </c>
      <c r="K1" s="79"/>
      <c r="L1" s="79"/>
    </row>
    <row r="2" spans="1:16" x14ac:dyDescent="0.3">
      <c r="A2" s="80"/>
      <c r="B2" s="80"/>
      <c r="C2" s="80"/>
      <c r="D2" s="80"/>
      <c r="E2" s="80"/>
      <c r="F2" s="80"/>
      <c r="G2" s="80"/>
      <c r="H2" s="12"/>
      <c r="I2" s="81"/>
      <c r="J2" s="1" t="s">
        <v>86</v>
      </c>
      <c r="K2" s="1" t="s">
        <v>87</v>
      </c>
      <c r="L2" s="1" t="s">
        <v>88</v>
      </c>
    </row>
    <row r="3" spans="1:16" x14ac:dyDescent="0.3">
      <c r="A3" s="80"/>
      <c r="B3" s="80"/>
      <c r="C3" s="80"/>
      <c r="D3" s="80"/>
      <c r="E3" s="80"/>
      <c r="F3" s="80"/>
      <c r="G3" s="80"/>
      <c r="H3" s="12"/>
      <c r="I3" s="20" t="s">
        <v>83</v>
      </c>
      <c r="J3" s="2">
        <v>2.2000000000000002</v>
      </c>
      <c r="K3" s="2">
        <v>1.5</v>
      </c>
      <c r="L3" s="2">
        <v>1.2</v>
      </c>
    </row>
    <row r="4" spans="1:16" x14ac:dyDescent="0.3">
      <c r="A4" s="80"/>
      <c r="B4" s="80"/>
      <c r="C4" s="80"/>
      <c r="D4" s="80"/>
      <c r="E4" s="80"/>
      <c r="F4" s="80"/>
      <c r="G4" s="80"/>
      <c r="H4" s="12"/>
      <c r="I4" s="20" t="s">
        <v>84</v>
      </c>
      <c r="J4" s="2">
        <v>2.2999999999999998</v>
      </c>
      <c r="K4" s="2">
        <v>2</v>
      </c>
      <c r="L4" s="2">
        <v>2</v>
      </c>
    </row>
    <row r="5" spans="1:16" x14ac:dyDescent="0.3">
      <c r="A5" s="80"/>
      <c r="B5" s="80"/>
      <c r="C5" s="80"/>
      <c r="D5" s="80"/>
      <c r="E5" s="80"/>
      <c r="F5" s="80"/>
      <c r="G5" s="80"/>
      <c r="H5" s="12"/>
    </row>
    <row r="6" spans="1:16" x14ac:dyDescent="0.3">
      <c r="A6" s="80"/>
      <c r="B6" s="80"/>
      <c r="C6" s="80"/>
      <c r="D6" s="80"/>
      <c r="E6" s="80"/>
      <c r="F6" s="80"/>
      <c r="G6" s="80"/>
      <c r="H6" s="12"/>
      <c r="I6" s="20"/>
      <c r="J6" s="1" t="s">
        <v>86</v>
      </c>
      <c r="K6" s="1" t="s">
        <v>87</v>
      </c>
      <c r="L6" s="1" t="s">
        <v>88</v>
      </c>
    </row>
    <row r="7" spans="1:16" x14ac:dyDescent="0.3">
      <c r="A7" s="80"/>
      <c r="B7" s="80"/>
      <c r="C7" s="80"/>
      <c r="D7" s="80"/>
      <c r="E7" s="80"/>
      <c r="F7" s="80"/>
      <c r="G7" s="80"/>
      <c r="H7" s="12"/>
      <c r="I7" s="20" t="s">
        <v>90</v>
      </c>
      <c r="J7" s="2">
        <v>30</v>
      </c>
      <c r="K7" s="2">
        <v>36</v>
      </c>
      <c r="L7" s="2">
        <v>40</v>
      </c>
    </row>
    <row r="8" spans="1:16" x14ac:dyDescent="0.3">
      <c r="A8" s="80"/>
      <c r="B8" s="80"/>
      <c r="C8" s="80"/>
      <c r="D8" s="80"/>
      <c r="E8" s="80"/>
      <c r="F8" s="80"/>
      <c r="G8" s="80"/>
      <c r="H8" s="12"/>
      <c r="I8" s="20" t="s">
        <v>98</v>
      </c>
      <c r="J8" s="2">
        <v>0.1</v>
      </c>
      <c r="K8" s="2">
        <v>0.3</v>
      </c>
      <c r="L8" s="2">
        <v>0.6</v>
      </c>
    </row>
    <row r="9" spans="1:16" x14ac:dyDescent="0.3">
      <c r="A9" s="80"/>
      <c r="B9" s="80"/>
      <c r="C9" s="80"/>
      <c r="D9" s="80"/>
      <c r="E9" s="80"/>
      <c r="F9" s="80"/>
      <c r="G9" s="80"/>
      <c r="H9" s="12"/>
    </row>
    <row r="10" spans="1:16" x14ac:dyDescent="0.3">
      <c r="A10" s="80"/>
      <c r="B10" s="80"/>
      <c r="C10" s="80"/>
      <c r="D10" s="80"/>
      <c r="E10" s="80"/>
      <c r="F10" s="80"/>
      <c r="G10" s="80"/>
      <c r="H10" s="12"/>
    </row>
    <row r="11" spans="1:16" x14ac:dyDescent="0.3">
      <c r="A11" s="80"/>
      <c r="B11" s="80"/>
      <c r="C11" s="80"/>
      <c r="D11" s="80"/>
      <c r="E11" s="80"/>
      <c r="F11" s="80"/>
      <c r="G11" s="80"/>
      <c r="H11" s="12"/>
      <c r="I11" s="82" t="s">
        <v>92</v>
      </c>
      <c r="J11" s="79" t="s">
        <v>96</v>
      </c>
      <c r="K11" s="79"/>
      <c r="L11" s="79"/>
      <c r="O11" s="79" t="s">
        <v>97</v>
      </c>
      <c r="P11" s="79"/>
    </row>
    <row r="12" spans="1:16" x14ac:dyDescent="0.3">
      <c r="A12" s="80"/>
      <c r="B12" s="80"/>
      <c r="C12" s="80"/>
      <c r="D12" s="80"/>
      <c r="E12" s="80"/>
      <c r="F12" s="80"/>
      <c r="G12" s="80"/>
      <c r="H12" s="12"/>
      <c r="I12" s="82"/>
      <c r="J12" s="1" t="s">
        <v>93</v>
      </c>
      <c r="K12" s="1" t="s">
        <v>94</v>
      </c>
      <c r="L12" s="1" t="s">
        <v>95</v>
      </c>
      <c r="O12" s="1" t="s">
        <v>86</v>
      </c>
      <c r="P12" s="2">
        <f>J13*$J$8+K13*$K$8+L13*$L$8</f>
        <v>66.300000000000011</v>
      </c>
    </row>
    <row r="13" spans="1:16" x14ac:dyDescent="0.3">
      <c r="A13" s="80"/>
      <c r="B13" s="80"/>
      <c r="C13" s="80"/>
      <c r="D13" s="80"/>
      <c r="E13" s="80"/>
      <c r="F13" s="80"/>
      <c r="G13" s="80"/>
      <c r="H13" s="12"/>
      <c r="I13" s="20" t="s">
        <v>86</v>
      </c>
      <c r="J13" s="2">
        <f>J7*J4</f>
        <v>69</v>
      </c>
      <c r="K13" s="2">
        <f>J3*J7</f>
        <v>66</v>
      </c>
      <c r="L13" s="2">
        <f>J3*J7</f>
        <v>66</v>
      </c>
      <c r="O13" s="1" t="s">
        <v>87</v>
      </c>
      <c r="P13" s="2">
        <f t="shared" ref="P13:P14" si="0">J14*$J$8+K14*$K$8+L14*$L$8</f>
        <v>59.4</v>
      </c>
    </row>
    <row r="14" spans="1:16" x14ac:dyDescent="0.3">
      <c r="A14" s="80"/>
      <c r="B14" s="80"/>
      <c r="C14" s="80"/>
      <c r="D14" s="80"/>
      <c r="E14" s="80"/>
      <c r="F14" s="80"/>
      <c r="G14" s="80"/>
      <c r="H14" s="12"/>
      <c r="I14" s="20" t="s">
        <v>87</v>
      </c>
      <c r="J14" s="2">
        <f>K3*K7</f>
        <v>54</v>
      </c>
      <c r="K14" s="2">
        <f>K4*K7</f>
        <v>72</v>
      </c>
      <c r="L14" s="2">
        <f>K3*K7</f>
        <v>54</v>
      </c>
      <c r="O14" s="1" t="s">
        <v>88</v>
      </c>
      <c r="P14" s="2">
        <f t="shared" si="0"/>
        <v>67.2</v>
      </c>
    </row>
    <row r="15" spans="1:16" x14ac:dyDescent="0.3">
      <c r="A15" s="80"/>
      <c r="B15" s="80"/>
      <c r="C15" s="80"/>
      <c r="D15" s="80"/>
      <c r="E15" s="80"/>
      <c r="F15" s="80"/>
      <c r="G15" s="80"/>
      <c r="H15" s="12"/>
      <c r="I15" s="20" t="s">
        <v>88</v>
      </c>
      <c r="J15" s="2">
        <f>L3*L7</f>
        <v>48</v>
      </c>
      <c r="K15" s="2">
        <f>L3*L7</f>
        <v>48</v>
      </c>
      <c r="L15" s="2">
        <f>L4*L7</f>
        <v>80</v>
      </c>
    </row>
    <row r="16" spans="1:16" x14ac:dyDescent="0.3">
      <c r="A16" s="80"/>
      <c r="B16" s="80"/>
      <c r="C16" s="80"/>
      <c r="D16" s="80"/>
      <c r="E16" s="80"/>
      <c r="F16" s="80"/>
      <c r="G16" s="80"/>
      <c r="H16" s="12"/>
    </row>
    <row r="17" spans="1:16" x14ac:dyDescent="0.3">
      <c r="A17" s="80"/>
      <c r="B17" s="80"/>
      <c r="C17" s="80"/>
      <c r="D17" s="80"/>
      <c r="E17" s="80"/>
      <c r="F17" s="80"/>
      <c r="G17" s="80"/>
      <c r="H17" s="12"/>
      <c r="I17" s="82" t="s">
        <v>125</v>
      </c>
      <c r="J17" s="79" t="s">
        <v>96</v>
      </c>
      <c r="K17" s="79"/>
      <c r="L17" s="79"/>
      <c r="O17" s="79" t="s">
        <v>126</v>
      </c>
      <c r="P17" s="79"/>
    </row>
    <row r="18" spans="1:16" x14ac:dyDescent="0.3">
      <c r="A18" s="80"/>
      <c r="B18" s="80"/>
      <c r="C18" s="80"/>
      <c r="D18" s="80"/>
      <c r="E18" s="80"/>
      <c r="F18" s="80"/>
      <c r="G18" s="80"/>
      <c r="H18" s="12"/>
      <c r="I18" s="82"/>
      <c r="J18" s="1" t="s">
        <v>93</v>
      </c>
      <c r="K18" s="1" t="s">
        <v>94</v>
      </c>
      <c r="L18" s="1" t="s">
        <v>95</v>
      </c>
      <c r="O18" s="1" t="s">
        <v>86</v>
      </c>
      <c r="P18" s="2">
        <f>J19*$J$8+K19*$K$8+L19*$L$8</f>
        <v>10.199999999999999</v>
      </c>
    </row>
    <row r="19" spans="1:16" x14ac:dyDescent="0.3">
      <c r="A19" s="80"/>
      <c r="B19" s="80"/>
      <c r="C19" s="80"/>
      <c r="D19" s="80"/>
      <c r="E19" s="80"/>
      <c r="F19" s="80"/>
      <c r="G19" s="80"/>
      <c r="I19" s="20" t="s">
        <v>86</v>
      </c>
      <c r="J19" s="2">
        <v>0</v>
      </c>
      <c r="K19" s="2">
        <f>K14-K13</f>
        <v>6</v>
      </c>
      <c r="L19" s="2">
        <f>L15-L13</f>
        <v>14</v>
      </c>
      <c r="O19" s="1" t="s">
        <v>87</v>
      </c>
      <c r="P19" s="2">
        <f t="shared" ref="P19:P20" si="1">J20*$J$8+K20*$K$8+L20*$L$8</f>
        <v>17.100000000000001</v>
      </c>
    </row>
    <row r="20" spans="1:16" x14ac:dyDescent="0.3">
      <c r="A20" s="80"/>
      <c r="B20" s="80"/>
      <c r="C20" s="80"/>
      <c r="D20" s="80"/>
      <c r="E20" s="80"/>
      <c r="F20" s="80"/>
      <c r="G20" s="80"/>
      <c r="I20" s="20" t="s">
        <v>87</v>
      </c>
      <c r="J20" s="2">
        <f>J13-J14</f>
        <v>15</v>
      </c>
      <c r="K20" s="2">
        <v>0</v>
      </c>
      <c r="L20" s="2">
        <f>L15-L14</f>
        <v>26</v>
      </c>
      <c r="O20" s="1" t="s">
        <v>88</v>
      </c>
      <c r="P20" s="2">
        <f t="shared" si="1"/>
        <v>9.2999999999999989</v>
      </c>
    </row>
    <row r="21" spans="1:16" x14ac:dyDescent="0.3">
      <c r="A21" s="80"/>
      <c r="B21" s="80"/>
      <c r="C21" s="80"/>
      <c r="D21" s="80"/>
      <c r="E21" s="80"/>
      <c r="F21" s="80"/>
      <c r="G21" s="80"/>
      <c r="I21" s="20" t="s">
        <v>88</v>
      </c>
      <c r="J21" s="2">
        <f>J13-J15</f>
        <v>21</v>
      </c>
      <c r="K21" s="2">
        <f>K14-K15</f>
        <v>24</v>
      </c>
      <c r="L21" s="2">
        <v>0</v>
      </c>
    </row>
    <row r="22" spans="1:16" x14ac:dyDescent="0.3">
      <c r="A22" s="80"/>
      <c r="B22" s="80"/>
      <c r="C22" s="80"/>
      <c r="D22" s="80"/>
      <c r="E22" s="80"/>
      <c r="F22" s="80"/>
      <c r="G22" s="80"/>
    </row>
    <row r="24" spans="1:16" x14ac:dyDescent="0.3">
      <c r="I24" s="1"/>
      <c r="J24" s="1" t="s">
        <v>99</v>
      </c>
      <c r="K24" s="1" t="s">
        <v>100</v>
      </c>
      <c r="L24" s="1" t="s">
        <v>101</v>
      </c>
      <c r="M24" s="1" t="s">
        <v>102</v>
      </c>
      <c r="O24" s="21" t="s">
        <v>103</v>
      </c>
    </row>
    <row r="25" spans="1:16" x14ac:dyDescent="0.3">
      <c r="I25" s="1" t="s">
        <v>86</v>
      </c>
      <c r="J25" s="2">
        <f>AVERAGE(J13:L13)</f>
        <v>67</v>
      </c>
      <c r="K25" s="2">
        <f>MIN(J13:L13)</f>
        <v>66</v>
      </c>
      <c r="L25" s="2">
        <f>MAX(J19:L19)</f>
        <v>14</v>
      </c>
      <c r="M25" s="2">
        <f>$O$25*MIN(J13:L13)+(1-$O$25)*MAX(J13:L13)</f>
        <v>67.2</v>
      </c>
      <c r="O25" s="2">
        <v>0.6</v>
      </c>
    </row>
    <row r="26" spans="1:16" x14ac:dyDescent="0.3">
      <c r="I26" s="1" t="s">
        <v>87</v>
      </c>
      <c r="J26" s="2">
        <f>AVERAGE(J14:L14)</f>
        <v>60</v>
      </c>
      <c r="K26" s="2">
        <f t="shared" ref="K26:K27" si="2">MIN(J14:L14)</f>
        <v>54</v>
      </c>
      <c r="L26" s="2">
        <f t="shared" ref="L26:L27" si="3">MAX(J20:L20)</f>
        <v>26</v>
      </c>
      <c r="M26" s="2">
        <f t="shared" ref="M26:M27" si="4">$O$25*MIN(J14:L14)+(1-$O$25)*MAX(J14:L14)</f>
        <v>61.2</v>
      </c>
    </row>
    <row r="27" spans="1:16" x14ac:dyDescent="0.3">
      <c r="I27" s="1" t="s">
        <v>88</v>
      </c>
      <c r="J27" s="2">
        <f>AVERAGE(J15:L15)</f>
        <v>58.666666666666664</v>
      </c>
      <c r="K27" s="2">
        <f t="shared" si="2"/>
        <v>48</v>
      </c>
      <c r="L27" s="2">
        <f t="shared" si="3"/>
        <v>24</v>
      </c>
      <c r="M27" s="2">
        <f t="shared" si="4"/>
        <v>60.8</v>
      </c>
    </row>
  </sheetData>
  <mergeCells count="9">
    <mergeCell ref="O11:P11"/>
    <mergeCell ref="O17:P17"/>
    <mergeCell ref="A1:G22"/>
    <mergeCell ref="J1:L1"/>
    <mergeCell ref="I1:I2"/>
    <mergeCell ref="I11:I12"/>
    <mergeCell ref="J11:L11"/>
    <mergeCell ref="I17:I18"/>
    <mergeCell ref="J17:L17"/>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1</vt:lpstr>
      <vt:lpstr>2</vt:lpstr>
      <vt:lpstr>3</vt:lpstr>
      <vt:lpstr>4</vt:lpstr>
      <vt:lpstr>5</vt:lpstr>
      <vt:lpstr>6</vt:lpstr>
      <vt:lpstr>7</vt:lpstr>
      <vt:lpstr>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Polina .</dc:creator>
  <cp:lastModifiedBy>Polina .</cp:lastModifiedBy>
  <dcterms:created xsi:type="dcterms:W3CDTF">2025-02-20T10:18:06Z</dcterms:created>
  <dcterms:modified xsi:type="dcterms:W3CDTF">2026-03-16T07:42:23Z</dcterms:modified>
</cp:coreProperties>
</file>